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221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DongLi</author>
  </authors>
  <commentList>
    <comment ref="M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T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A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H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O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V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BC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BD39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黑色为热处理时间</t>
        </r>
      </text>
    </comment>
  </commentList>
</comments>
</file>

<file path=xl/sharedStrings.xml><?xml version="1.0" encoding="utf-8"?>
<sst xmlns="http://schemas.openxmlformats.org/spreadsheetml/2006/main" count="120" uniqueCount="75">
  <si>
    <t>陶瓷杯项目生产进度表</t>
  </si>
  <si>
    <t>序号</t>
  </si>
  <si>
    <t>工作项目与内容</t>
  </si>
  <si>
    <t>材质</t>
  </si>
  <si>
    <t>砖数</t>
  </si>
  <si>
    <t>重量</t>
  </si>
  <si>
    <t>陶瓷垫砖</t>
  </si>
  <si>
    <t>ZD00</t>
  </si>
  <si>
    <t>RL70MLC</t>
  </si>
  <si>
    <t>ZD01</t>
  </si>
  <si>
    <t>ZD02</t>
  </si>
  <si>
    <t>ZD03</t>
  </si>
  <si>
    <t>ZD04</t>
  </si>
  <si>
    <t>ZD05</t>
  </si>
  <si>
    <t>ZD06</t>
  </si>
  <si>
    <t xml:space="preserve">    </t>
  </si>
  <si>
    <t>ZD07</t>
  </si>
  <si>
    <t>ZD08</t>
  </si>
  <si>
    <t>ZD09</t>
  </si>
  <si>
    <t>陶瓷杯壁砖</t>
  </si>
  <si>
    <t>ZB01</t>
  </si>
  <si>
    <t>RL89MNC</t>
  </si>
  <si>
    <t>ZB02</t>
  </si>
  <si>
    <t>ZB03R</t>
  </si>
  <si>
    <t>ZB03L</t>
  </si>
  <si>
    <t>ZB04R</t>
  </si>
  <si>
    <t>ZB04L</t>
  </si>
  <si>
    <t>ZB05</t>
  </si>
  <si>
    <t>ZB06</t>
  </si>
  <si>
    <t>ZB07</t>
  </si>
  <si>
    <t>ZB08</t>
  </si>
  <si>
    <t>ZB09R</t>
  </si>
  <si>
    <t>ZB09L</t>
  </si>
  <si>
    <t>ZB10R</t>
  </si>
  <si>
    <t>ZB10L</t>
  </si>
  <si>
    <t>ZB11</t>
  </si>
  <si>
    <t>ZB12</t>
  </si>
  <si>
    <t>ZB13</t>
  </si>
  <si>
    <t>ZB14</t>
  </si>
  <si>
    <t>ZB15R</t>
  </si>
  <si>
    <t>ZB15L</t>
  </si>
  <si>
    <t>ZB16R</t>
  </si>
  <si>
    <t>ZB16L</t>
  </si>
  <si>
    <t>ZB17</t>
  </si>
  <si>
    <t>ZB18</t>
  </si>
  <si>
    <t>ZB19</t>
  </si>
  <si>
    <t>ZB20</t>
  </si>
  <si>
    <t>黑色</t>
  </si>
  <si>
    <t>ZB21</t>
  </si>
  <si>
    <t>ZB22</t>
  </si>
  <si>
    <t>风口组合砖</t>
  </si>
  <si>
    <t>ZF01</t>
  </si>
  <si>
    <t>ZF02</t>
  </si>
  <si>
    <t>ZF03</t>
  </si>
  <si>
    <t>ZF04</t>
  </si>
  <si>
    <t>ZF05</t>
  </si>
  <si>
    <t>ZF06</t>
  </si>
  <si>
    <t>ZF07</t>
  </si>
  <si>
    <t>散料</t>
  </si>
  <si>
    <t>RL85C</t>
  </si>
  <si>
    <t>RL85C/FS</t>
  </si>
  <si>
    <t>RL85M</t>
  </si>
  <si>
    <t>预装</t>
  </si>
  <si>
    <t>自检及内检</t>
  </si>
  <si>
    <t>外检</t>
  </si>
  <si>
    <t>包装发运</t>
  </si>
  <si>
    <t>编制：</t>
  </si>
  <si>
    <t>张庆国</t>
  </si>
  <si>
    <t>备注：黄色部分是已经生产完成的，后面要加上8天热处理时间</t>
  </si>
  <si>
    <t>审核：</t>
  </si>
  <si>
    <t>韩松</t>
  </si>
  <si>
    <t>张文忠</t>
  </si>
  <si>
    <t>纪广明</t>
  </si>
  <si>
    <t>批准：</t>
  </si>
  <si>
    <t>李东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</si>
</sst>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2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4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0" borderId="45" applyNumberFormat="0" applyFill="0" applyAlignment="0" applyProtection="0">
      <alignment vertical="center"/>
    </xf>
    <xf numFmtId="0" fontId="16" fillId="0" borderId="4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7" borderId="47" applyNumberFormat="0" applyAlignment="0" applyProtection="0">
      <alignment vertical="center"/>
    </xf>
    <xf numFmtId="0" fontId="18" fillId="18" borderId="48" applyNumberFormat="0" applyAlignment="0" applyProtection="0">
      <alignment vertical="center"/>
    </xf>
    <xf numFmtId="0" fontId="19" fillId="18" borderId="47" applyNumberFormat="0" applyAlignment="0" applyProtection="0">
      <alignment vertical="center"/>
    </xf>
    <xf numFmtId="0" fontId="20" fillId="19" borderId="49" applyNumberFormat="0" applyAlignment="0" applyProtection="0">
      <alignment vertical="center"/>
    </xf>
    <xf numFmtId="0" fontId="21" fillId="0" borderId="50" applyNumberFormat="0" applyFill="0" applyAlignment="0" applyProtection="0">
      <alignment vertical="center"/>
    </xf>
    <xf numFmtId="0" fontId="22" fillId="0" borderId="51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 applyProtection="0">
      <alignment vertical="center"/>
    </xf>
    <xf numFmtId="0" fontId="0" fillId="0" borderId="0">
      <alignment vertical="center"/>
    </xf>
  </cellStyleXfs>
  <cellXfs count="15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51" applyFont="1" applyFill="1" applyBorder="1" applyAlignment="1">
      <alignment horizontal="center" vertical="center"/>
    </xf>
    <xf numFmtId="0" fontId="3" fillId="0" borderId="2" xfId="51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center" vertical="center" wrapText="1"/>
    </xf>
    <xf numFmtId="57" fontId="3" fillId="0" borderId="1" xfId="51" applyNumberFormat="1" applyFont="1" applyFill="1" applyBorder="1" applyAlignment="1">
      <alignment horizontal="center" vertical="center"/>
    </xf>
    <xf numFmtId="57" fontId="3" fillId="0" borderId="3" xfId="51" applyNumberFormat="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/>
    </xf>
    <xf numFmtId="0" fontId="4" fillId="0" borderId="3" xfId="51" applyFont="1" applyFill="1" applyBorder="1" applyAlignment="1">
      <alignment horizontal="center" vertical="center"/>
    </xf>
    <xf numFmtId="0" fontId="1" fillId="0" borderId="4" xfId="51" applyFont="1" applyFill="1" applyBorder="1" applyAlignment="1">
      <alignment horizontal="center" vertical="center"/>
    </xf>
    <xf numFmtId="0" fontId="5" fillId="0" borderId="0" xfId="51" applyFont="1" applyFill="1" applyBorder="1" applyAlignment="1">
      <alignment horizontal="center" vertical="center" wrapText="1"/>
    </xf>
    <xf numFmtId="0" fontId="1" fillId="0" borderId="5" xfId="5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51" applyFont="1" applyFill="1" applyBorder="1" applyAlignment="1">
      <alignment horizontal="center" vertical="center"/>
    </xf>
    <xf numFmtId="0" fontId="1" fillId="0" borderId="8" xfId="5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6" fillId="0" borderId="3" xfId="51" applyFont="1" applyFill="1" applyBorder="1" applyAlignment="1">
      <alignment horizontal="center" vertical="center"/>
    </xf>
    <xf numFmtId="0" fontId="6" fillId="0" borderId="9" xfId="51" applyFont="1" applyFill="1" applyBorder="1" applyAlignment="1">
      <alignment horizontal="center" vertical="center"/>
    </xf>
    <xf numFmtId="0" fontId="1" fillId="0" borderId="10" xfId="51" applyFont="1" applyFill="1" applyBorder="1" applyAlignment="1">
      <alignment horizontal="center" vertical="center"/>
    </xf>
    <xf numFmtId="0" fontId="5" fillId="0" borderId="11" xfId="51" applyFont="1" applyFill="1" applyBorder="1" applyAlignment="1">
      <alignment horizontal="center" vertical="center" wrapText="1"/>
    </xf>
    <xf numFmtId="0" fontId="1" fillId="2" borderId="4" xfId="51" applyNumberFormat="1" applyFont="1" applyFill="1" applyBorder="1" applyAlignment="1">
      <alignment horizontal="center" vertical="center"/>
    </xf>
    <xf numFmtId="0" fontId="1" fillId="2" borderId="11" xfId="51" applyFont="1" applyFill="1" applyBorder="1" applyAlignment="1">
      <alignment horizontal="center" vertical="center"/>
    </xf>
    <xf numFmtId="0" fontId="1" fillId="2" borderId="12" xfId="51" applyNumberFormat="1" applyFont="1" applyFill="1" applyBorder="1" applyAlignment="1">
      <alignment horizontal="center" vertical="center"/>
    </xf>
    <xf numFmtId="0" fontId="6" fillId="0" borderId="13" xfId="51" applyFont="1" applyFill="1" applyBorder="1" applyAlignment="1">
      <alignment horizontal="center" vertical="center"/>
    </xf>
    <xf numFmtId="0" fontId="5" fillId="0" borderId="7" xfId="51" applyFont="1" applyFill="1" applyBorder="1" applyAlignment="1">
      <alignment horizontal="center" vertical="center" wrapText="1"/>
    </xf>
    <xf numFmtId="0" fontId="1" fillId="3" borderId="8" xfId="51" applyNumberFormat="1" applyFont="1" applyFill="1" applyBorder="1" applyAlignment="1">
      <alignment horizontal="center" vertical="center"/>
    </xf>
    <xf numFmtId="0" fontId="1" fillId="3" borderId="7" xfId="5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2" borderId="8" xfId="51" applyNumberFormat="1" applyFont="1" applyFill="1" applyBorder="1" applyAlignment="1">
      <alignment horizontal="center" vertical="center"/>
    </xf>
    <xf numFmtId="0" fontId="1" fillId="2" borderId="7" xfId="5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6" fillId="0" borderId="14" xfId="51" applyFont="1" applyFill="1" applyBorder="1" applyAlignment="1">
      <alignment horizontal="center" vertical="center"/>
    </xf>
    <xf numFmtId="0" fontId="1" fillId="0" borderId="8" xfId="51" applyNumberFormat="1" applyFont="1" applyFill="1" applyBorder="1" applyAlignment="1">
      <alignment horizontal="center" vertical="center"/>
    </xf>
    <xf numFmtId="0" fontId="6" fillId="0" borderId="15" xfId="51" applyFont="1" applyFill="1" applyBorder="1" applyAlignment="1">
      <alignment horizontal="center" vertical="center"/>
    </xf>
    <xf numFmtId="0" fontId="1" fillId="4" borderId="8" xfId="51" applyNumberFormat="1" applyFont="1" applyFill="1" applyBorder="1" applyAlignment="1">
      <alignment horizontal="center" vertical="center"/>
    </xf>
    <xf numFmtId="0" fontId="1" fillId="4" borderId="7" xfId="51" applyFont="1" applyFill="1" applyBorder="1" applyAlignment="1">
      <alignment horizontal="center" vertical="center"/>
    </xf>
    <xf numFmtId="0" fontId="1" fillId="5" borderId="8" xfId="51" applyNumberFormat="1" applyFont="1" applyFill="1" applyBorder="1" applyAlignment="1">
      <alignment horizontal="center" vertical="center"/>
    </xf>
    <xf numFmtId="0" fontId="1" fillId="5" borderId="7" xfId="51" applyFont="1" applyFill="1" applyBorder="1" applyAlignment="1">
      <alignment horizontal="center" vertical="center"/>
    </xf>
    <xf numFmtId="0" fontId="1" fillId="6" borderId="8" xfId="51" applyNumberFormat="1" applyFont="1" applyFill="1" applyBorder="1" applyAlignment="1">
      <alignment horizontal="center" vertical="center"/>
    </xf>
    <xf numFmtId="0" fontId="1" fillId="6" borderId="7" xfId="51" applyFont="1" applyFill="1" applyBorder="1" applyAlignment="1">
      <alignment horizontal="center" vertical="center"/>
    </xf>
    <xf numFmtId="0" fontId="1" fillId="7" borderId="8" xfId="51" applyNumberFormat="1" applyFont="1" applyFill="1" applyBorder="1" applyAlignment="1">
      <alignment horizontal="center" vertical="center"/>
    </xf>
    <xf numFmtId="0" fontId="1" fillId="7" borderId="7" xfId="51" applyFont="1" applyFill="1" applyBorder="1" applyAlignment="1">
      <alignment horizontal="center" vertical="center"/>
    </xf>
    <xf numFmtId="0" fontId="1" fillId="8" borderId="8" xfId="51" applyNumberFormat="1" applyFont="1" applyFill="1" applyBorder="1" applyAlignment="1">
      <alignment horizontal="center" vertical="center"/>
    </xf>
    <xf numFmtId="0" fontId="1" fillId="8" borderId="7" xfId="51" applyFont="1" applyFill="1" applyBorder="1" applyAlignment="1">
      <alignment horizontal="center" vertical="center"/>
    </xf>
    <xf numFmtId="0" fontId="5" fillId="0" borderId="16" xfId="51" applyFont="1" applyFill="1" applyBorder="1" applyAlignment="1">
      <alignment horizontal="center" vertical="center" wrapText="1"/>
    </xf>
    <xf numFmtId="0" fontId="1" fillId="0" borderId="17" xfId="51" applyNumberFormat="1" applyFont="1" applyFill="1" applyBorder="1" applyAlignment="1">
      <alignment horizontal="center" vertical="center"/>
    </xf>
    <xf numFmtId="0" fontId="1" fillId="0" borderId="16" xfId="51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5" fillId="0" borderId="18" xfId="51" applyFont="1" applyFill="1" applyBorder="1" applyAlignment="1">
      <alignment horizontal="center" vertical="center" wrapText="1"/>
    </xf>
    <xf numFmtId="0" fontId="1" fillId="0" borderId="12" xfId="51" applyNumberFormat="1" applyFont="1" applyFill="1" applyBorder="1" applyAlignment="1">
      <alignment horizontal="center" vertical="center"/>
    </xf>
    <xf numFmtId="0" fontId="1" fillId="0" borderId="18" xfId="51" applyFont="1" applyFill="1" applyBorder="1" applyAlignment="1">
      <alignment horizontal="center" vertical="center"/>
    </xf>
    <xf numFmtId="0" fontId="1" fillId="0" borderId="19" xfId="51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6" fillId="0" borderId="20" xfId="51" applyFont="1" applyFill="1" applyBorder="1" applyAlignment="1">
      <alignment horizontal="center" vertical="center"/>
    </xf>
    <xf numFmtId="0" fontId="5" fillId="0" borderId="0" xfId="51" applyFont="1" applyFill="1" applyAlignment="1">
      <alignment horizontal="center" vertical="center" wrapText="1"/>
    </xf>
    <xf numFmtId="0" fontId="1" fillId="0" borderId="4" xfId="51" applyNumberFormat="1" applyFont="1" applyFill="1" applyBorder="1" applyAlignment="1">
      <alignment horizontal="center" vertical="center"/>
    </xf>
    <xf numFmtId="0" fontId="5" fillId="0" borderId="11" xfId="51" applyFont="1" applyFill="1" applyBorder="1" applyAlignment="1">
      <alignment horizontal="center" vertical="center"/>
    </xf>
    <xf numFmtId="0" fontId="1" fillId="0" borderId="12" xfId="51" applyFont="1" applyFill="1" applyBorder="1" applyAlignment="1">
      <alignment horizontal="center" vertical="center"/>
    </xf>
    <xf numFmtId="0" fontId="1" fillId="0" borderId="21" xfId="51" applyFont="1" applyFill="1" applyBorder="1" applyAlignment="1">
      <alignment horizontal="center" vertical="center"/>
    </xf>
    <xf numFmtId="0" fontId="1" fillId="0" borderId="22" xfId="51" applyFont="1" applyFill="1" applyBorder="1" applyAlignment="1">
      <alignment horizontal="center" vertical="center"/>
    </xf>
    <xf numFmtId="0" fontId="1" fillId="0" borderId="23" xfId="51" applyFont="1" applyFill="1" applyBorder="1" applyAlignment="1">
      <alignment horizontal="center" vertical="center"/>
    </xf>
    <xf numFmtId="0" fontId="1" fillId="0" borderId="13" xfId="51" applyFont="1" applyFill="1" applyBorder="1" applyAlignment="1">
      <alignment horizontal="center" vertical="center"/>
    </xf>
    <xf numFmtId="0" fontId="5" fillId="0" borderId="7" xfId="51" applyFont="1" applyFill="1" applyBorder="1" applyAlignment="1">
      <alignment horizontal="center" vertical="center"/>
    </xf>
    <xf numFmtId="0" fontId="1" fillId="0" borderId="2" xfId="51" applyFont="1" applyFill="1" applyBorder="1" applyAlignment="1">
      <alignment horizontal="center" vertical="center"/>
    </xf>
    <xf numFmtId="0" fontId="1" fillId="0" borderId="1" xfId="51" applyFont="1" applyFill="1" applyBorder="1" applyAlignment="1">
      <alignment horizontal="center" vertical="center"/>
    </xf>
    <xf numFmtId="0" fontId="1" fillId="0" borderId="24" xfId="51" applyFont="1" applyFill="1" applyBorder="1" applyAlignment="1">
      <alignment horizontal="center" vertical="center"/>
    </xf>
    <xf numFmtId="0" fontId="1" fillId="0" borderId="3" xfId="51" applyFont="1" applyFill="1" applyBorder="1" applyAlignment="1">
      <alignment horizontal="center" vertical="center"/>
    </xf>
    <xf numFmtId="0" fontId="1" fillId="0" borderId="25" xfId="51" applyFont="1" applyFill="1" applyBorder="1" applyAlignment="1">
      <alignment horizontal="center" vertical="center"/>
    </xf>
    <xf numFmtId="0" fontId="5" fillId="0" borderId="26" xfId="51" applyFont="1" applyFill="1" applyBorder="1" applyAlignment="1">
      <alignment horizontal="center" vertical="center"/>
    </xf>
    <xf numFmtId="0" fontId="1" fillId="0" borderId="27" xfId="51" applyFont="1" applyFill="1" applyBorder="1" applyAlignment="1">
      <alignment horizontal="center" vertical="center"/>
    </xf>
    <xf numFmtId="0" fontId="1" fillId="0" borderId="28" xfId="51" applyFont="1" applyFill="1" applyBorder="1" applyAlignment="1">
      <alignment horizontal="center" vertical="center"/>
    </xf>
    <xf numFmtId="0" fontId="1" fillId="0" borderId="29" xfId="51" applyFont="1" applyFill="1" applyBorder="1" applyAlignment="1">
      <alignment horizontal="center" vertical="center"/>
    </xf>
    <xf numFmtId="0" fontId="1" fillId="0" borderId="30" xfId="51" applyFont="1" applyFill="1" applyBorder="1" applyAlignment="1">
      <alignment horizontal="center" vertical="center"/>
    </xf>
    <xf numFmtId="0" fontId="1" fillId="0" borderId="9" xfId="51" applyFont="1" applyFill="1" applyBorder="1" applyAlignment="1">
      <alignment horizontal="center" vertical="center"/>
    </xf>
    <xf numFmtId="0" fontId="1" fillId="0" borderId="31" xfId="51" applyFont="1" applyFill="1" applyBorder="1" applyAlignment="1">
      <alignment horizontal="center" vertical="center"/>
    </xf>
    <xf numFmtId="0" fontId="1" fillId="0" borderId="32" xfId="51" applyFont="1" applyFill="1" applyBorder="1" applyAlignment="1">
      <alignment horizontal="center" vertical="center"/>
    </xf>
    <xf numFmtId="0" fontId="1" fillId="0" borderId="26" xfId="51" applyFont="1" applyFill="1" applyBorder="1" applyAlignment="1">
      <alignment horizontal="center" vertical="center"/>
    </xf>
    <xf numFmtId="0" fontId="1" fillId="0" borderId="33" xfId="51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8" xfId="51" applyFont="1" applyFill="1" applyBorder="1" applyAlignment="1">
      <alignment vertical="center"/>
    </xf>
    <xf numFmtId="0" fontId="7" fillId="0" borderId="18" xfId="51" applyFont="1" applyFill="1" applyBorder="1" applyAlignment="1">
      <alignment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4" xfId="51" applyFont="1" applyFill="1" applyBorder="1" applyAlignment="1">
      <alignment horizontal="center" vertical="center"/>
    </xf>
    <xf numFmtId="0" fontId="1" fillId="9" borderId="34" xfId="5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6" fillId="0" borderId="1" xfId="51" applyFont="1" applyFill="1" applyBorder="1" applyAlignment="1">
      <alignment horizontal="center" vertical="center"/>
    </xf>
    <xf numFmtId="0" fontId="6" fillId="0" borderId="35" xfId="51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9" borderId="35" xfId="0" applyFont="1" applyFill="1" applyBorder="1" applyAlignment="1">
      <alignment horizontal="center" vertical="center"/>
    </xf>
    <xf numFmtId="0" fontId="6" fillId="0" borderId="22" xfId="51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6" xfId="51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0" fontId="1" fillId="0" borderId="22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1" fillId="0" borderId="35" xfId="51" applyFont="1" applyFill="1" applyBorder="1" applyAlignment="1">
      <alignment horizontal="center" vertical="center"/>
    </xf>
    <xf numFmtId="0" fontId="1" fillId="0" borderId="35" xfId="51" applyFont="1" applyFill="1" applyBorder="1" applyAlignment="1">
      <alignment horizontal="center" vertical="center" wrapText="1"/>
    </xf>
    <xf numFmtId="0" fontId="1" fillId="0" borderId="37" xfId="51" applyFont="1" applyFill="1" applyBorder="1" applyAlignment="1">
      <alignment horizontal="center" vertical="center"/>
    </xf>
    <xf numFmtId="0" fontId="7" fillId="9" borderId="18" xfId="51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 vertical="center"/>
    </xf>
    <xf numFmtId="57" fontId="3" fillId="0" borderId="38" xfId="51" applyNumberFormat="1" applyFont="1" applyFill="1" applyBorder="1" applyAlignment="1">
      <alignment horizontal="center" vertical="center"/>
    </xf>
    <xf numFmtId="57" fontId="3" fillId="0" borderId="24" xfId="51" applyNumberFormat="1" applyFont="1" applyFill="1" applyBorder="1" applyAlignment="1">
      <alignment horizontal="center" vertical="center"/>
    </xf>
    <xf numFmtId="57" fontId="5" fillId="0" borderId="3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38" xfId="51" applyFont="1" applyFill="1" applyBorder="1" applyAlignment="1">
      <alignment horizontal="center" vertical="center"/>
    </xf>
    <xf numFmtId="0" fontId="4" fillId="0" borderId="24" xfId="51" applyFont="1" applyFill="1" applyBorder="1" applyAlignment="1">
      <alignment horizontal="center" vertical="center"/>
    </xf>
    <xf numFmtId="0" fontId="1" fillId="0" borderId="39" xfId="5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2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33" xfId="5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9" borderId="40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9" borderId="42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22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0" borderId="11" xfId="5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7" fillId="0" borderId="18" xfId="5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11" borderId="22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2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8" fillId="15" borderId="35" xfId="0" applyFont="1" applyFill="1" applyBorder="1" applyAlignment="1">
      <alignment horizontal="center" vertical="center"/>
    </xf>
    <xf numFmtId="0" fontId="1" fillId="15" borderId="35" xfId="0" applyFont="1" applyFill="1" applyBorder="1" applyAlignment="1">
      <alignment horizontal="center" vertical="center"/>
    </xf>
    <xf numFmtId="0" fontId="2" fillId="0" borderId="38" xfId="51" applyFont="1" applyFill="1" applyBorder="1" applyAlignment="1">
      <alignment horizontal="center" vertical="center"/>
    </xf>
    <xf numFmtId="0" fontId="1" fillId="0" borderId="43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_巴西工作进度060512" xfId="50"/>
    <cellStyle name="常规 2" xfId="51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59"/>
  <sheetViews>
    <sheetView tabSelected="1" workbookViewId="0">
      <pane xSplit="7" ySplit="3" topLeftCell="O4" activePane="bottomRight" state="frozen"/>
      <selection/>
      <selection pane="topRight"/>
      <selection pane="bottomLeft"/>
      <selection pane="bottomRight" activeCell="Q19" sqref="Q19"/>
    </sheetView>
  </sheetViews>
  <sheetFormatPr defaultColWidth="9" defaultRowHeight="16.5"/>
  <cols>
    <col min="1" max="1" width="9" style="2"/>
    <col min="2" max="2" width="11.375" style="2" customWidth="1"/>
    <col min="3" max="4" width="11.7583333333333" style="2" customWidth="1"/>
    <col min="5" max="6" width="9" style="2"/>
    <col min="7" max="7" width="6.725" style="2" customWidth="1"/>
    <col min="8" max="30" width="3.625" style="2" customWidth="1"/>
    <col min="31" max="69" width="3.725" style="2" customWidth="1"/>
    <col min="70" max="16384" width="9" style="2"/>
  </cols>
  <sheetData>
    <row r="1" s="1" customFormat="1" ht="34" customHeight="1" spans="1:7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151"/>
      <c r="BR1" s="152"/>
    </row>
    <row r="2" s="1" customFormat="1" ht="16" customHeight="1" spans="1:70">
      <c r="A2" s="4" t="s">
        <v>1</v>
      </c>
      <c r="B2" s="5" t="s">
        <v>2</v>
      </c>
      <c r="C2" s="5"/>
      <c r="D2" s="5" t="s">
        <v>3</v>
      </c>
      <c r="E2" s="5" t="s">
        <v>4</v>
      </c>
      <c r="F2" s="5" t="s">
        <v>5</v>
      </c>
      <c r="G2" s="6"/>
      <c r="H2" s="7">
        <v>45840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105"/>
      <c r="AL2" s="106"/>
      <c r="AM2" s="107">
        <v>45870</v>
      </c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53"/>
      <c r="BR2" s="152"/>
    </row>
    <row r="3" s="1" customFormat="1" ht="16" customHeight="1" spans="1:70">
      <c r="A3" s="4"/>
      <c r="B3" s="5"/>
      <c r="C3" s="5"/>
      <c r="D3" s="5"/>
      <c r="E3" s="5"/>
      <c r="F3" s="5"/>
      <c r="G3" s="8"/>
      <c r="H3" s="9">
        <v>1</v>
      </c>
      <c r="I3" s="8">
        <v>2</v>
      </c>
      <c r="J3" s="8">
        <v>3</v>
      </c>
      <c r="K3" s="8">
        <v>4</v>
      </c>
      <c r="L3" s="8">
        <v>5</v>
      </c>
      <c r="M3" s="8">
        <v>6</v>
      </c>
      <c r="N3" s="8">
        <v>7</v>
      </c>
      <c r="O3" s="8">
        <v>8</v>
      </c>
      <c r="P3" s="8">
        <v>9</v>
      </c>
      <c r="Q3" s="8">
        <v>10</v>
      </c>
      <c r="R3" s="8">
        <v>11</v>
      </c>
      <c r="S3" s="8">
        <v>12</v>
      </c>
      <c r="T3" s="8">
        <v>13</v>
      </c>
      <c r="U3" s="8">
        <v>14</v>
      </c>
      <c r="V3" s="8">
        <v>15</v>
      </c>
      <c r="W3" s="8">
        <v>16</v>
      </c>
      <c r="X3" s="8">
        <v>17</v>
      </c>
      <c r="Y3" s="8">
        <v>18</v>
      </c>
      <c r="Z3" s="8">
        <v>19</v>
      </c>
      <c r="AA3" s="8">
        <v>20</v>
      </c>
      <c r="AB3" s="8">
        <v>21</v>
      </c>
      <c r="AC3" s="8">
        <v>22</v>
      </c>
      <c r="AD3" s="8">
        <v>23</v>
      </c>
      <c r="AE3" s="8">
        <v>24</v>
      </c>
      <c r="AF3" s="8">
        <v>25</v>
      </c>
      <c r="AG3" s="8">
        <v>26</v>
      </c>
      <c r="AH3" s="8">
        <v>27</v>
      </c>
      <c r="AI3" s="8">
        <v>28</v>
      </c>
      <c r="AJ3" s="8">
        <v>29</v>
      </c>
      <c r="AK3" s="109">
        <v>30</v>
      </c>
      <c r="AL3" s="110">
        <v>31</v>
      </c>
      <c r="AM3" s="16">
        <v>1</v>
      </c>
      <c r="AN3" s="85">
        <v>2</v>
      </c>
      <c r="AO3" s="85">
        <v>3</v>
      </c>
      <c r="AP3" s="85">
        <v>4</v>
      </c>
      <c r="AQ3" s="85">
        <v>5</v>
      </c>
      <c r="AR3" s="85">
        <v>6</v>
      </c>
      <c r="AS3" s="85">
        <v>7</v>
      </c>
      <c r="AT3" s="85">
        <v>8</v>
      </c>
      <c r="AU3" s="85">
        <v>9</v>
      </c>
      <c r="AV3" s="85">
        <v>10</v>
      </c>
      <c r="AW3" s="85">
        <v>11</v>
      </c>
      <c r="AX3" s="85">
        <v>12</v>
      </c>
      <c r="AY3" s="85">
        <v>13</v>
      </c>
      <c r="AZ3" s="85">
        <v>14</v>
      </c>
      <c r="BA3" s="85">
        <v>15</v>
      </c>
      <c r="BB3" s="85">
        <v>16</v>
      </c>
      <c r="BC3" s="85">
        <v>17</v>
      </c>
      <c r="BD3" s="85">
        <v>18</v>
      </c>
      <c r="BE3" s="85">
        <v>19</v>
      </c>
      <c r="BF3" s="85">
        <v>20</v>
      </c>
      <c r="BG3" s="85">
        <v>21</v>
      </c>
      <c r="BH3" s="85">
        <v>22</v>
      </c>
      <c r="BI3" s="85">
        <v>23</v>
      </c>
      <c r="BJ3" s="85">
        <v>24</v>
      </c>
      <c r="BK3" s="85">
        <v>25</v>
      </c>
      <c r="BL3" s="85">
        <v>26</v>
      </c>
      <c r="BM3" s="85">
        <v>27</v>
      </c>
      <c r="BN3" s="85">
        <v>28</v>
      </c>
      <c r="BO3" s="85">
        <v>29</v>
      </c>
      <c r="BP3" s="85">
        <v>30</v>
      </c>
      <c r="BQ3" s="143">
        <v>31</v>
      </c>
      <c r="BR3" s="152"/>
    </row>
    <row r="4" s="1" customFormat="1" ht="18" customHeight="1" spans="1:70">
      <c r="A4" s="10">
        <v>1</v>
      </c>
      <c r="B4" s="11" t="s">
        <v>6</v>
      </c>
      <c r="C4" s="10" t="s">
        <v>7</v>
      </c>
      <c r="D4" s="12" t="s">
        <v>8</v>
      </c>
      <c r="E4" s="10">
        <v>2</v>
      </c>
      <c r="F4" s="10">
        <v>662</v>
      </c>
      <c r="G4" s="13">
        <f t="shared" ref="G4:G42" si="0">SUM(H4:BQ4)</f>
        <v>2</v>
      </c>
      <c r="H4" s="13"/>
      <c r="I4" s="82"/>
      <c r="J4" s="83"/>
      <c r="K4" s="83"/>
      <c r="L4" s="83"/>
      <c r="M4" s="83"/>
      <c r="N4" s="83"/>
      <c r="O4" s="84">
        <v>1</v>
      </c>
      <c r="P4" s="84">
        <v>1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12"/>
      <c r="AL4" s="111"/>
      <c r="AM4" s="16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143"/>
      <c r="BR4" s="152"/>
    </row>
    <row r="5" s="1" customFormat="1" ht="18" customHeight="1" spans="1:70">
      <c r="A5" s="10">
        <v>2</v>
      </c>
      <c r="B5" s="11"/>
      <c r="C5" s="10" t="s">
        <v>9</v>
      </c>
      <c r="D5" s="14" t="s">
        <v>8</v>
      </c>
      <c r="E5" s="15">
        <v>10</v>
      </c>
      <c r="F5" s="15">
        <v>293</v>
      </c>
      <c r="G5" s="13">
        <f t="shared" si="0"/>
        <v>10</v>
      </c>
      <c r="H5" s="16"/>
      <c r="I5" s="85"/>
      <c r="J5" s="85"/>
      <c r="K5" s="85"/>
      <c r="L5" s="85"/>
      <c r="M5" s="85"/>
      <c r="N5" s="85"/>
      <c r="O5" s="86">
        <v>1</v>
      </c>
      <c r="P5" s="86">
        <v>1</v>
      </c>
      <c r="Q5" s="86">
        <v>1</v>
      </c>
      <c r="R5" s="86">
        <v>1</v>
      </c>
      <c r="S5" s="86">
        <v>1</v>
      </c>
      <c r="T5" s="85"/>
      <c r="U5" s="86">
        <v>1</v>
      </c>
      <c r="V5" s="86">
        <v>1</v>
      </c>
      <c r="W5" s="86">
        <v>1</v>
      </c>
      <c r="X5" s="86">
        <v>2</v>
      </c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112"/>
      <c r="AL5" s="113"/>
      <c r="AM5" s="16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143"/>
      <c r="BR5" s="152"/>
    </row>
    <row r="6" s="1" customFormat="1" ht="18" customHeight="1" spans="1:70">
      <c r="A6" s="10">
        <v>3</v>
      </c>
      <c r="B6" s="11"/>
      <c r="C6" s="10" t="s">
        <v>10</v>
      </c>
      <c r="D6" s="14" t="s">
        <v>8</v>
      </c>
      <c r="E6" s="15">
        <v>14</v>
      </c>
      <c r="F6" s="15">
        <v>329</v>
      </c>
      <c r="G6" s="13">
        <f t="shared" si="0"/>
        <v>14</v>
      </c>
      <c r="H6" s="16"/>
      <c r="I6" s="85"/>
      <c r="J6" s="85"/>
      <c r="K6" s="85"/>
      <c r="L6" s="85"/>
      <c r="M6" s="85"/>
      <c r="N6" s="85"/>
      <c r="O6" s="86">
        <v>1</v>
      </c>
      <c r="P6" s="86">
        <v>2</v>
      </c>
      <c r="Q6" s="86">
        <v>2</v>
      </c>
      <c r="R6" s="86">
        <v>2</v>
      </c>
      <c r="S6" s="86">
        <v>2</v>
      </c>
      <c r="T6" s="85"/>
      <c r="U6" s="86">
        <v>2</v>
      </c>
      <c r="V6" s="86">
        <v>2</v>
      </c>
      <c r="W6" s="86">
        <v>1</v>
      </c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112"/>
      <c r="AL6" s="113"/>
      <c r="AM6" s="16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143"/>
      <c r="BR6" s="152"/>
    </row>
    <row r="7" s="1" customFormat="1" ht="18" customHeight="1" spans="1:70">
      <c r="A7" s="10">
        <v>4</v>
      </c>
      <c r="B7" s="11"/>
      <c r="C7" s="10" t="s">
        <v>11</v>
      </c>
      <c r="D7" s="14" t="s">
        <v>8</v>
      </c>
      <c r="E7" s="15">
        <v>18</v>
      </c>
      <c r="F7" s="15">
        <v>349</v>
      </c>
      <c r="G7" s="13">
        <f t="shared" si="0"/>
        <v>18</v>
      </c>
      <c r="H7" s="17"/>
      <c r="I7" s="87"/>
      <c r="J7" s="85"/>
      <c r="K7" s="85"/>
      <c r="L7" s="85"/>
      <c r="M7" s="85"/>
      <c r="N7" s="85"/>
      <c r="O7" s="86">
        <v>2</v>
      </c>
      <c r="P7" s="86">
        <v>2</v>
      </c>
      <c r="Q7" s="86">
        <v>2</v>
      </c>
      <c r="R7" s="86">
        <v>2</v>
      </c>
      <c r="S7" s="86">
        <v>2</v>
      </c>
      <c r="T7" s="85"/>
      <c r="U7" s="86">
        <v>2</v>
      </c>
      <c r="V7" s="86">
        <v>2</v>
      </c>
      <c r="W7" s="86">
        <v>2</v>
      </c>
      <c r="X7" s="86">
        <v>2</v>
      </c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112"/>
      <c r="AL7" s="113"/>
      <c r="AM7" s="16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143"/>
      <c r="BR7" s="152"/>
    </row>
    <row r="8" s="1" customFormat="1" ht="18" customHeight="1" spans="1:70">
      <c r="A8" s="10">
        <v>5</v>
      </c>
      <c r="B8" s="11"/>
      <c r="C8" s="10" t="s">
        <v>12</v>
      </c>
      <c r="D8" s="14" t="s">
        <v>8</v>
      </c>
      <c r="E8" s="15">
        <v>22</v>
      </c>
      <c r="F8" s="15">
        <v>362</v>
      </c>
      <c r="G8" s="13">
        <f t="shared" si="0"/>
        <v>22</v>
      </c>
      <c r="H8" s="17"/>
      <c r="I8" s="87"/>
      <c r="J8" s="85"/>
      <c r="K8" s="85"/>
      <c r="L8" s="85"/>
      <c r="M8" s="85"/>
      <c r="N8" s="85"/>
      <c r="O8" s="86">
        <v>2</v>
      </c>
      <c r="P8" s="86">
        <v>2</v>
      </c>
      <c r="Q8" s="86">
        <v>2</v>
      </c>
      <c r="R8" s="86">
        <v>2</v>
      </c>
      <c r="S8" s="86">
        <v>2</v>
      </c>
      <c r="T8" s="85"/>
      <c r="U8" s="86">
        <v>2</v>
      </c>
      <c r="V8" s="86">
        <v>2</v>
      </c>
      <c r="W8" s="86">
        <v>2</v>
      </c>
      <c r="X8" s="86">
        <v>2</v>
      </c>
      <c r="Y8" s="86">
        <v>2</v>
      </c>
      <c r="Z8" s="86">
        <v>2</v>
      </c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112"/>
      <c r="AL8" s="113"/>
      <c r="AM8" s="16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143"/>
      <c r="BR8" s="152"/>
    </row>
    <row r="9" s="1" customFormat="1" ht="18" customHeight="1" spans="1:70">
      <c r="A9" s="10">
        <v>6</v>
      </c>
      <c r="B9" s="11"/>
      <c r="C9" s="10" t="s">
        <v>13</v>
      </c>
      <c r="D9" s="14" t="s">
        <v>8</v>
      </c>
      <c r="E9" s="15">
        <v>26</v>
      </c>
      <c r="F9" s="15">
        <v>371</v>
      </c>
      <c r="G9" s="13">
        <f t="shared" si="0"/>
        <v>26</v>
      </c>
      <c r="H9" s="18"/>
      <c r="I9" s="88"/>
      <c r="J9" s="89"/>
      <c r="K9" s="89"/>
      <c r="L9" s="89"/>
      <c r="M9" s="89"/>
      <c r="N9" s="89"/>
      <c r="O9" s="90">
        <v>2</v>
      </c>
      <c r="P9" s="90">
        <v>2</v>
      </c>
      <c r="Q9" s="90">
        <v>2</v>
      </c>
      <c r="R9" s="90">
        <v>2</v>
      </c>
      <c r="S9" s="90">
        <v>2</v>
      </c>
      <c r="T9" s="89"/>
      <c r="U9" s="90">
        <v>2</v>
      </c>
      <c r="V9" s="90">
        <v>2</v>
      </c>
      <c r="W9" s="90">
        <v>2</v>
      </c>
      <c r="X9" s="90">
        <v>2</v>
      </c>
      <c r="Y9" s="90">
        <v>2</v>
      </c>
      <c r="Z9" s="90">
        <v>2</v>
      </c>
      <c r="AA9" s="89"/>
      <c r="AB9" s="90">
        <v>2</v>
      </c>
      <c r="AC9" s="89"/>
      <c r="AD9" s="90">
        <v>2</v>
      </c>
      <c r="AE9" s="89"/>
      <c r="AF9" s="89"/>
      <c r="AG9" s="89"/>
      <c r="AH9" s="89"/>
      <c r="AI9" s="89"/>
      <c r="AJ9" s="89"/>
      <c r="AK9" s="114"/>
      <c r="AL9" s="115"/>
      <c r="AM9" s="16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143"/>
      <c r="BR9" s="152"/>
    </row>
    <row r="10" s="1" customFormat="1" ht="18" customHeight="1" spans="1:70">
      <c r="A10" s="10">
        <v>7</v>
      </c>
      <c r="B10" s="11"/>
      <c r="C10" s="10" t="s">
        <v>14</v>
      </c>
      <c r="D10" s="14" t="s">
        <v>8</v>
      </c>
      <c r="E10" s="15">
        <v>30</v>
      </c>
      <c r="F10" s="15">
        <v>437</v>
      </c>
      <c r="G10" s="13">
        <f t="shared" si="0"/>
        <v>30</v>
      </c>
      <c r="H10" s="18"/>
      <c r="I10" s="88"/>
      <c r="J10" s="89"/>
      <c r="K10" s="89"/>
      <c r="L10" s="89"/>
      <c r="M10" s="89"/>
      <c r="N10" s="89"/>
      <c r="O10" s="90">
        <v>2</v>
      </c>
      <c r="P10" s="90">
        <v>2</v>
      </c>
      <c r="Q10" s="90">
        <v>2</v>
      </c>
      <c r="R10" s="90">
        <v>2</v>
      </c>
      <c r="S10" s="90">
        <v>2</v>
      </c>
      <c r="T10" s="89"/>
      <c r="U10" s="90">
        <v>2</v>
      </c>
      <c r="V10" s="90">
        <v>2</v>
      </c>
      <c r="W10" s="90">
        <v>2</v>
      </c>
      <c r="X10" s="90">
        <v>2</v>
      </c>
      <c r="Y10" s="90">
        <v>2</v>
      </c>
      <c r="Z10" s="90">
        <v>2</v>
      </c>
      <c r="AA10" s="89"/>
      <c r="AB10" s="90">
        <v>2</v>
      </c>
      <c r="AC10" s="89"/>
      <c r="AD10" s="90">
        <v>2</v>
      </c>
      <c r="AE10" s="90">
        <v>2</v>
      </c>
      <c r="AF10" s="90">
        <v>2</v>
      </c>
      <c r="AG10" s="89"/>
      <c r="AH10" s="89"/>
      <c r="AI10" s="89"/>
      <c r="AJ10" s="89"/>
      <c r="AK10" s="114"/>
      <c r="AL10" s="115"/>
      <c r="AM10" s="16"/>
      <c r="AN10" s="85" t="s">
        <v>15</v>
      </c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143"/>
      <c r="BR10" s="152"/>
    </row>
    <row r="11" s="1" customFormat="1" ht="18" customHeight="1" spans="1:70">
      <c r="A11" s="10">
        <v>8</v>
      </c>
      <c r="B11" s="11"/>
      <c r="C11" s="10" t="s">
        <v>16</v>
      </c>
      <c r="D11" s="14" t="s">
        <v>8</v>
      </c>
      <c r="E11" s="15">
        <v>34</v>
      </c>
      <c r="F11" s="15">
        <v>505</v>
      </c>
      <c r="G11" s="13">
        <f t="shared" si="0"/>
        <v>34</v>
      </c>
      <c r="H11" s="18"/>
      <c r="I11" s="88"/>
      <c r="J11" s="89"/>
      <c r="K11" s="89"/>
      <c r="L11" s="89"/>
      <c r="M11" s="89"/>
      <c r="N11" s="89"/>
      <c r="O11" s="90">
        <v>2</v>
      </c>
      <c r="P11" s="90">
        <v>2</v>
      </c>
      <c r="Q11" s="90">
        <v>2</v>
      </c>
      <c r="R11" s="90">
        <v>2</v>
      </c>
      <c r="S11" s="90">
        <v>2</v>
      </c>
      <c r="T11" s="89"/>
      <c r="U11" s="89"/>
      <c r="V11" s="90">
        <v>2</v>
      </c>
      <c r="W11" s="90">
        <v>2</v>
      </c>
      <c r="X11" s="90">
        <v>2</v>
      </c>
      <c r="Y11" s="90">
        <v>2</v>
      </c>
      <c r="Z11" s="90">
        <v>2</v>
      </c>
      <c r="AA11" s="89"/>
      <c r="AB11" s="90">
        <v>2</v>
      </c>
      <c r="AC11" s="89"/>
      <c r="AD11" s="90">
        <v>2</v>
      </c>
      <c r="AE11" s="90">
        <v>2</v>
      </c>
      <c r="AF11" s="90">
        <v>2</v>
      </c>
      <c r="AG11" s="90">
        <v>2</v>
      </c>
      <c r="AH11" s="89"/>
      <c r="AI11" s="90">
        <v>2</v>
      </c>
      <c r="AJ11" s="90">
        <v>2</v>
      </c>
      <c r="AK11" s="114"/>
      <c r="AL11" s="115"/>
      <c r="AM11" s="16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143"/>
      <c r="BR11" s="152"/>
    </row>
    <row r="12" s="1" customFormat="1" ht="18" customHeight="1" spans="1:70">
      <c r="A12" s="10">
        <v>9</v>
      </c>
      <c r="B12" s="11"/>
      <c r="C12" s="10" t="s">
        <v>17</v>
      </c>
      <c r="D12" s="14" t="s">
        <v>8</v>
      </c>
      <c r="E12" s="15">
        <v>40</v>
      </c>
      <c r="F12" s="15">
        <v>582</v>
      </c>
      <c r="G12" s="13">
        <f t="shared" si="0"/>
        <v>40</v>
      </c>
      <c r="H12" s="18"/>
      <c r="I12" s="88"/>
      <c r="J12" s="89"/>
      <c r="K12" s="89"/>
      <c r="L12" s="89"/>
      <c r="M12" s="89"/>
      <c r="N12" s="89"/>
      <c r="O12" s="89"/>
      <c r="P12" s="89"/>
      <c r="Q12" s="89"/>
      <c r="R12" s="90">
        <v>2</v>
      </c>
      <c r="S12" s="90">
        <v>2</v>
      </c>
      <c r="T12" s="89"/>
      <c r="U12" s="90">
        <v>2</v>
      </c>
      <c r="V12" s="90">
        <v>2</v>
      </c>
      <c r="W12" s="90">
        <v>2</v>
      </c>
      <c r="X12" s="90">
        <v>2</v>
      </c>
      <c r="Y12" s="90">
        <v>2</v>
      </c>
      <c r="Z12" s="90">
        <v>2</v>
      </c>
      <c r="AA12" s="89"/>
      <c r="AB12" s="90">
        <v>2</v>
      </c>
      <c r="AC12" s="89"/>
      <c r="AD12" s="90">
        <v>2</v>
      </c>
      <c r="AE12" s="90">
        <v>2</v>
      </c>
      <c r="AF12" s="90">
        <v>2</v>
      </c>
      <c r="AG12" s="90">
        <v>2</v>
      </c>
      <c r="AH12" s="89"/>
      <c r="AI12" s="90">
        <v>2</v>
      </c>
      <c r="AJ12" s="90">
        <v>2</v>
      </c>
      <c r="AK12" s="90">
        <v>2</v>
      </c>
      <c r="AL12" s="90">
        <v>2</v>
      </c>
      <c r="AM12" s="116">
        <v>2</v>
      </c>
      <c r="AN12" s="86">
        <v>2</v>
      </c>
      <c r="AO12" s="85"/>
      <c r="AP12" s="86">
        <v>2</v>
      </c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143"/>
      <c r="BR12" s="152"/>
    </row>
    <row r="13" s="1" customFormat="1" ht="18" customHeight="1" spans="1:70">
      <c r="A13" s="19">
        <v>10</v>
      </c>
      <c r="B13" s="11"/>
      <c r="C13" s="10" t="s">
        <v>18</v>
      </c>
      <c r="D13" s="14" t="s">
        <v>8</v>
      </c>
      <c r="E13" s="15">
        <v>40</v>
      </c>
      <c r="F13" s="15">
        <v>416</v>
      </c>
      <c r="G13" s="13">
        <f t="shared" si="0"/>
        <v>40</v>
      </c>
      <c r="H13" s="18"/>
      <c r="I13" s="88"/>
      <c r="J13" s="89"/>
      <c r="K13" s="89"/>
      <c r="L13" s="89"/>
      <c r="M13" s="89"/>
      <c r="N13" s="89"/>
      <c r="O13" s="89"/>
      <c r="P13" s="89"/>
      <c r="Q13" s="89"/>
      <c r="R13" s="90">
        <v>2</v>
      </c>
      <c r="S13" s="90">
        <v>2</v>
      </c>
      <c r="T13" s="89"/>
      <c r="U13" s="90">
        <v>2</v>
      </c>
      <c r="V13" s="90">
        <v>2</v>
      </c>
      <c r="W13" s="90">
        <v>2</v>
      </c>
      <c r="X13" s="90">
        <v>2</v>
      </c>
      <c r="Y13" s="90">
        <v>2</v>
      </c>
      <c r="Z13" s="90">
        <v>2</v>
      </c>
      <c r="AA13" s="89"/>
      <c r="AB13" s="90">
        <v>2</v>
      </c>
      <c r="AC13" s="89"/>
      <c r="AD13" s="90">
        <v>2</v>
      </c>
      <c r="AE13" s="90">
        <v>2</v>
      </c>
      <c r="AF13" s="90">
        <v>2</v>
      </c>
      <c r="AG13" s="90">
        <v>2</v>
      </c>
      <c r="AH13" s="89"/>
      <c r="AI13" s="90">
        <v>2</v>
      </c>
      <c r="AJ13" s="90">
        <v>2</v>
      </c>
      <c r="AK13" s="90">
        <v>2</v>
      </c>
      <c r="AL13" s="90">
        <v>2</v>
      </c>
      <c r="AM13" s="116">
        <v>2</v>
      </c>
      <c r="AN13" s="86">
        <v>2</v>
      </c>
      <c r="AO13" s="85"/>
      <c r="AP13" s="86">
        <v>2</v>
      </c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143"/>
      <c r="BR13" s="152"/>
    </row>
    <row r="14" s="1" customFormat="1" ht="18" customHeight="1" spans="1:70">
      <c r="A14" s="10">
        <v>11</v>
      </c>
      <c r="B14" s="20" t="s">
        <v>19</v>
      </c>
      <c r="C14" s="21" t="s">
        <v>20</v>
      </c>
      <c r="D14" s="22" t="s">
        <v>21</v>
      </c>
      <c r="E14" s="23">
        <v>2</v>
      </c>
      <c r="F14" s="23">
        <v>902</v>
      </c>
      <c r="G14" s="13">
        <f t="shared" si="0"/>
        <v>2</v>
      </c>
      <c r="H14" s="24"/>
      <c r="I14" s="91"/>
      <c r="J14" s="91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102">
        <v>1</v>
      </c>
      <c r="AC14" s="92"/>
      <c r="AD14" s="102">
        <v>1</v>
      </c>
      <c r="AE14" s="92"/>
      <c r="AF14" s="92"/>
      <c r="AG14" s="92"/>
      <c r="AH14" s="92"/>
      <c r="AI14" s="92"/>
      <c r="AJ14" s="92"/>
      <c r="AK14" s="117"/>
      <c r="AL14" s="75"/>
      <c r="AM14" s="53"/>
      <c r="AN14" s="118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92"/>
      <c r="BL14" s="92"/>
      <c r="BM14" s="92"/>
      <c r="BN14" s="92"/>
      <c r="BO14" s="92"/>
      <c r="BP14" s="92"/>
      <c r="BQ14" s="154"/>
      <c r="BR14" s="152"/>
    </row>
    <row r="15" s="1" customFormat="1" ht="18" customHeight="1" spans="1:70">
      <c r="A15" s="10">
        <v>12</v>
      </c>
      <c r="B15" s="25"/>
      <c r="C15" s="26" t="s">
        <v>22</v>
      </c>
      <c r="D15" s="27" t="s">
        <v>21</v>
      </c>
      <c r="E15" s="26">
        <v>4</v>
      </c>
      <c r="F15" s="26">
        <v>763</v>
      </c>
      <c r="G15" s="13">
        <f t="shared" si="0"/>
        <v>4</v>
      </c>
      <c r="H15" s="28"/>
      <c r="I15" s="93"/>
      <c r="J15" s="93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6">
        <v>1</v>
      </c>
      <c r="AC15" s="85"/>
      <c r="AD15" s="86">
        <v>1</v>
      </c>
      <c r="AE15" s="86">
        <v>1</v>
      </c>
      <c r="AF15" s="86">
        <v>1</v>
      </c>
      <c r="AG15" s="85"/>
      <c r="AH15" s="85"/>
      <c r="AI15" s="85"/>
      <c r="AJ15" s="85"/>
      <c r="AK15" s="112"/>
      <c r="AL15" s="76"/>
      <c r="AM15" s="16"/>
      <c r="AN15" s="119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143"/>
      <c r="BR15" s="152"/>
    </row>
    <row r="16" s="1" customFormat="1" ht="18" customHeight="1" spans="1:70">
      <c r="A16" s="10">
        <v>13</v>
      </c>
      <c r="B16" s="25"/>
      <c r="C16" s="29" t="s">
        <v>23</v>
      </c>
      <c r="D16" s="30" t="s">
        <v>21</v>
      </c>
      <c r="E16" s="29">
        <v>2</v>
      </c>
      <c r="F16" s="29">
        <v>893</v>
      </c>
      <c r="G16" s="13">
        <f t="shared" si="0"/>
        <v>2</v>
      </c>
      <c r="H16" s="17"/>
      <c r="I16" s="87"/>
      <c r="J16" s="87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6">
        <v>1</v>
      </c>
      <c r="AF16" s="86">
        <v>1</v>
      </c>
      <c r="AG16" s="85"/>
      <c r="AH16" s="85"/>
      <c r="AI16" s="85"/>
      <c r="AJ16" s="85"/>
      <c r="AK16" s="112"/>
      <c r="AL16" s="76"/>
      <c r="AM16" s="16"/>
      <c r="AN16" s="119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143"/>
      <c r="BE16" s="148"/>
      <c r="BF16" s="16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143"/>
      <c r="BR16" s="152"/>
    </row>
    <row r="17" s="1" customFormat="1" ht="18" customHeight="1" spans="1:70">
      <c r="A17" s="10">
        <v>14</v>
      </c>
      <c r="B17" s="25"/>
      <c r="C17" s="29" t="s">
        <v>24</v>
      </c>
      <c r="D17" s="30" t="s">
        <v>21</v>
      </c>
      <c r="E17" s="29">
        <v>2</v>
      </c>
      <c r="F17" s="29">
        <v>893</v>
      </c>
      <c r="G17" s="13">
        <f t="shared" si="0"/>
        <v>2</v>
      </c>
      <c r="H17" s="17"/>
      <c r="I17" s="87"/>
      <c r="J17" s="87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6">
        <v>1</v>
      </c>
      <c r="AH17" s="85"/>
      <c r="AI17" s="86">
        <v>1</v>
      </c>
      <c r="AJ17" s="85"/>
      <c r="AK17" s="112"/>
      <c r="AL17" s="76"/>
      <c r="AM17" s="16"/>
      <c r="AN17" s="119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2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143"/>
      <c r="BR17" s="152"/>
    </row>
    <row r="18" s="1" customFormat="1" ht="18" customHeight="1" spans="1:70">
      <c r="A18" s="10">
        <v>15</v>
      </c>
      <c r="B18" s="25"/>
      <c r="C18" s="26" t="s">
        <v>25</v>
      </c>
      <c r="D18" s="27" t="s">
        <v>21</v>
      </c>
      <c r="E18" s="26">
        <v>2</v>
      </c>
      <c r="F18" s="26">
        <v>738</v>
      </c>
      <c r="G18" s="13">
        <f t="shared" si="0"/>
        <v>2</v>
      </c>
      <c r="H18" s="18"/>
      <c r="I18" s="88"/>
      <c r="J18" s="88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90">
        <v>1</v>
      </c>
      <c r="AH18" s="89"/>
      <c r="AI18" s="90">
        <v>1</v>
      </c>
      <c r="AJ18" s="89"/>
      <c r="AK18" s="114"/>
      <c r="AL18" s="78"/>
      <c r="AM18" s="16"/>
      <c r="AN18" s="119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143"/>
      <c r="BR18" s="152"/>
    </row>
    <row r="19" s="1" customFormat="1" ht="18" customHeight="1" spans="1:70">
      <c r="A19" s="10">
        <v>16</v>
      </c>
      <c r="B19" s="25"/>
      <c r="C19" s="26" t="s">
        <v>26</v>
      </c>
      <c r="D19" s="27" t="s">
        <v>21</v>
      </c>
      <c r="E19" s="26">
        <v>2</v>
      </c>
      <c r="F19" s="26">
        <v>738</v>
      </c>
      <c r="G19" s="31">
        <f t="shared" si="0"/>
        <v>2</v>
      </c>
      <c r="H19" s="32"/>
      <c r="I19" s="18"/>
      <c r="J19" s="88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90">
        <v>1</v>
      </c>
      <c r="AK19" s="86">
        <v>1</v>
      </c>
      <c r="AL19" s="78"/>
      <c r="AM19" s="16"/>
      <c r="AN19" s="119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143"/>
      <c r="BR19" s="152"/>
    </row>
    <row r="20" s="1" customFormat="1" ht="18" customHeight="1" spans="1:70">
      <c r="A20" s="10">
        <v>17</v>
      </c>
      <c r="B20" s="25"/>
      <c r="C20" s="33" t="s">
        <v>27</v>
      </c>
      <c r="D20" s="14" t="s">
        <v>21</v>
      </c>
      <c r="E20" s="33">
        <v>20</v>
      </c>
      <c r="F20" s="33">
        <v>821</v>
      </c>
      <c r="G20" s="13">
        <f t="shared" si="0"/>
        <v>20</v>
      </c>
      <c r="H20" s="34"/>
      <c r="I20" s="88"/>
      <c r="J20" s="88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90">
        <v>1</v>
      </c>
      <c r="W20" s="89"/>
      <c r="X20" s="90">
        <v>1</v>
      </c>
      <c r="Y20" s="90">
        <v>2</v>
      </c>
      <c r="Z20" s="90">
        <v>2</v>
      </c>
      <c r="AA20" s="89"/>
      <c r="AB20" s="90">
        <v>1</v>
      </c>
      <c r="AC20" s="89"/>
      <c r="AD20" s="90">
        <v>1</v>
      </c>
      <c r="AE20" s="90">
        <v>1</v>
      </c>
      <c r="AF20" s="90">
        <v>1</v>
      </c>
      <c r="AG20" s="90">
        <v>1</v>
      </c>
      <c r="AH20" s="89"/>
      <c r="AI20" s="90">
        <v>1</v>
      </c>
      <c r="AJ20" s="90">
        <v>1</v>
      </c>
      <c r="AK20" s="90">
        <v>2</v>
      </c>
      <c r="AL20" s="120">
        <v>1</v>
      </c>
      <c r="AM20" s="121">
        <v>1</v>
      </c>
      <c r="AN20" s="90">
        <v>1</v>
      </c>
      <c r="AO20" s="85"/>
      <c r="AP20" s="86">
        <v>1</v>
      </c>
      <c r="AQ20" s="86">
        <v>1</v>
      </c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143"/>
      <c r="BR20" s="152"/>
    </row>
    <row r="21" s="1" customFormat="1" ht="18" customHeight="1" spans="1:70">
      <c r="A21" s="10">
        <v>18</v>
      </c>
      <c r="B21" s="25"/>
      <c r="C21" s="33" t="s">
        <v>28</v>
      </c>
      <c r="D21" s="14" t="s">
        <v>21</v>
      </c>
      <c r="E21" s="33">
        <v>18</v>
      </c>
      <c r="F21" s="33">
        <v>716</v>
      </c>
      <c r="G21" s="13">
        <f t="shared" si="0"/>
        <v>18</v>
      </c>
      <c r="H21" s="18"/>
      <c r="I21" s="88"/>
      <c r="J21" s="88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90">
        <v>1</v>
      </c>
      <c r="W21" s="89"/>
      <c r="X21" s="90">
        <v>1</v>
      </c>
      <c r="Y21" s="90">
        <v>1</v>
      </c>
      <c r="Z21" s="90">
        <v>1</v>
      </c>
      <c r="AA21" s="89"/>
      <c r="AB21" s="90">
        <v>1</v>
      </c>
      <c r="AC21" s="89"/>
      <c r="AD21" s="89">
        <v>1</v>
      </c>
      <c r="AE21" s="90">
        <v>1</v>
      </c>
      <c r="AF21" s="90">
        <v>1</v>
      </c>
      <c r="AG21" s="90">
        <v>1</v>
      </c>
      <c r="AH21" s="89"/>
      <c r="AI21" s="90">
        <v>1</v>
      </c>
      <c r="AJ21" s="90">
        <v>1</v>
      </c>
      <c r="AK21" s="90">
        <v>2</v>
      </c>
      <c r="AL21" s="120">
        <v>1</v>
      </c>
      <c r="AM21" s="121">
        <v>1</v>
      </c>
      <c r="AN21" s="90">
        <v>1</v>
      </c>
      <c r="AO21" s="85"/>
      <c r="AP21" s="86">
        <v>1</v>
      </c>
      <c r="AQ21" s="86">
        <v>1</v>
      </c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143"/>
      <c r="BR21" s="152"/>
    </row>
    <row r="22" s="1" customFormat="1" ht="18" customHeight="1" spans="1:70">
      <c r="A22" s="10">
        <v>19</v>
      </c>
      <c r="B22" s="25"/>
      <c r="C22" s="35" t="s">
        <v>29</v>
      </c>
      <c r="D22" s="36" t="s">
        <v>21</v>
      </c>
      <c r="E22" s="35">
        <v>4</v>
      </c>
      <c r="F22" s="35">
        <v>506</v>
      </c>
      <c r="G22" s="13">
        <f t="shared" si="0"/>
        <v>4</v>
      </c>
      <c r="H22" s="18"/>
      <c r="I22" s="88"/>
      <c r="J22" s="88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90">
        <v>1</v>
      </c>
      <c r="Z22" s="90">
        <v>1</v>
      </c>
      <c r="AA22" s="89"/>
      <c r="AB22" s="90">
        <v>1</v>
      </c>
      <c r="AC22" s="89"/>
      <c r="AD22" s="90">
        <v>1</v>
      </c>
      <c r="AE22" s="89"/>
      <c r="AF22" s="89"/>
      <c r="AG22" s="89"/>
      <c r="AH22" s="89"/>
      <c r="AI22" s="89"/>
      <c r="AJ22" s="89"/>
      <c r="AK22" s="114"/>
      <c r="AL22" s="78"/>
      <c r="AM22" s="16"/>
      <c r="AN22" s="119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143"/>
      <c r="BR22" s="152"/>
    </row>
    <row r="23" s="1" customFormat="1" ht="18" customHeight="1" spans="1:70">
      <c r="A23" s="10">
        <v>20</v>
      </c>
      <c r="B23" s="25"/>
      <c r="C23" s="37" t="s">
        <v>30</v>
      </c>
      <c r="D23" s="38" t="s">
        <v>21</v>
      </c>
      <c r="E23" s="37">
        <v>8</v>
      </c>
      <c r="F23" s="37">
        <v>829</v>
      </c>
      <c r="G23" s="13">
        <f t="shared" si="0"/>
        <v>8</v>
      </c>
      <c r="H23" s="18"/>
      <c r="I23" s="88"/>
      <c r="J23" s="88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90">
        <v>1</v>
      </c>
      <c r="AF23" s="90">
        <v>1</v>
      </c>
      <c r="AG23" s="90">
        <v>1</v>
      </c>
      <c r="AH23" s="89"/>
      <c r="AI23" s="90">
        <v>1</v>
      </c>
      <c r="AJ23" s="89"/>
      <c r="AK23" s="114"/>
      <c r="AL23" s="122">
        <v>1</v>
      </c>
      <c r="AM23" s="116">
        <v>1</v>
      </c>
      <c r="AN23" s="123">
        <v>1</v>
      </c>
      <c r="AO23" s="85"/>
      <c r="AP23" s="86">
        <v>1</v>
      </c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143"/>
      <c r="BR23" s="152"/>
    </row>
    <row r="24" s="1" customFormat="1" ht="18" customHeight="1" spans="1:70">
      <c r="A24" s="10">
        <v>21</v>
      </c>
      <c r="B24" s="25"/>
      <c r="C24" s="39" t="s">
        <v>31</v>
      </c>
      <c r="D24" s="40" t="s">
        <v>21</v>
      </c>
      <c r="E24" s="39">
        <v>4</v>
      </c>
      <c r="F24" s="39">
        <v>801</v>
      </c>
      <c r="G24" s="13">
        <f t="shared" si="0"/>
        <v>4</v>
      </c>
      <c r="H24" s="18"/>
      <c r="I24" s="88"/>
      <c r="J24" s="88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90">
        <v>2</v>
      </c>
      <c r="AE24" s="90">
        <v>2</v>
      </c>
      <c r="AF24" s="89"/>
      <c r="AG24" s="89"/>
      <c r="AH24" s="89"/>
      <c r="AI24" s="89"/>
      <c r="AJ24" s="89"/>
      <c r="AK24" s="114"/>
      <c r="AL24" s="78"/>
      <c r="AM24" s="16"/>
      <c r="AN24" s="119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143"/>
      <c r="BR24" s="152"/>
    </row>
    <row r="25" s="1" customFormat="1" ht="18" customHeight="1" spans="1:70">
      <c r="A25" s="10">
        <v>22</v>
      </c>
      <c r="B25" s="25"/>
      <c r="C25" s="39" t="s">
        <v>32</v>
      </c>
      <c r="D25" s="40" t="s">
        <v>21</v>
      </c>
      <c r="E25" s="39">
        <v>4</v>
      </c>
      <c r="F25" s="39">
        <v>801</v>
      </c>
      <c r="G25" s="13">
        <f t="shared" si="0"/>
        <v>4</v>
      </c>
      <c r="H25" s="18"/>
      <c r="I25" s="88"/>
      <c r="J25" s="88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90">
        <v>1</v>
      </c>
      <c r="Z25" s="90">
        <v>1</v>
      </c>
      <c r="AA25" s="89"/>
      <c r="AB25" s="90">
        <v>2</v>
      </c>
      <c r="AC25" s="89"/>
      <c r="AD25" s="89"/>
      <c r="AE25" s="89"/>
      <c r="AF25" s="89"/>
      <c r="AG25" s="89"/>
      <c r="AH25" s="89"/>
      <c r="AI25" s="89"/>
      <c r="AJ25" s="89"/>
      <c r="AK25" s="114"/>
      <c r="AL25" s="78"/>
      <c r="AM25" s="16"/>
      <c r="AN25" s="119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143"/>
      <c r="BR25" s="152"/>
    </row>
    <row r="26" s="1" customFormat="1" ht="18" customHeight="1" spans="1:70">
      <c r="A26" s="10">
        <v>23</v>
      </c>
      <c r="B26" s="25"/>
      <c r="C26" s="39" t="s">
        <v>33</v>
      </c>
      <c r="D26" s="40" t="s">
        <v>21</v>
      </c>
      <c r="E26" s="39">
        <v>4</v>
      </c>
      <c r="F26" s="39">
        <v>702</v>
      </c>
      <c r="G26" s="13">
        <f t="shared" si="0"/>
        <v>4</v>
      </c>
      <c r="H26" s="18"/>
      <c r="I26" s="88"/>
      <c r="J26" s="88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90">
        <v>2</v>
      </c>
      <c r="AG26" s="90">
        <v>2</v>
      </c>
      <c r="AH26" s="89"/>
      <c r="AI26" s="89"/>
      <c r="AJ26" s="89"/>
      <c r="AK26" s="114"/>
      <c r="AL26" s="78"/>
      <c r="AM26" s="16"/>
      <c r="AN26" s="119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143"/>
      <c r="BR26" s="152"/>
    </row>
    <row r="27" s="1" customFormat="1" ht="18" customHeight="1" spans="1:70">
      <c r="A27" s="10">
        <v>24</v>
      </c>
      <c r="B27" s="25"/>
      <c r="C27" s="39" t="s">
        <v>34</v>
      </c>
      <c r="D27" s="40" t="s">
        <v>21</v>
      </c>
      <c r="E27" s="39">
        <v>4</v>
      </c>
      <c r="F27" s="39">
        <v>702</v>
      </c>
      <c r="G27" s="13">
        <f t="shared" si="0"/>
        <v>4</v>
      </c>
      <c r="H27" s="18"/>
      <c r="I27" s="88"/>
      <c r="J27" s="88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90">
        <v>2</v>
      </c>
      <c r="AJ27" s="90">
        <v>2</v>
      </c>
      <c r="AK27" s="114"/>
      <c r="AL27" s="78"/>
      <c r="AM27" s="16"/>
      <c r="AN27" s="119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143"/>
      <c r="BR27" s="152"/>
    </row>
    <row r="28" s="1" customFormat="1" ht="18" customHeight="1" spans="1:70">
      <c r="A28" s="10">
        <v>25</v>
      </c>
      <c r="B28" s="25"/>
      <c r="C28" s="33" t="s">
        <v>35</v>
      </c>
      <c r="D28" s="14" t="s">
        <v>21</v>
      </c>
      <c r="E28" s="33">
        <v>76</v>
      </c>
      <c r="F28" s="33">
        <v>631</v>
      </c>
      <c r="G28" s="13">
        <f t="shared" si="0"/>
        <v>76</v>
      </c>
      <c r="H28" s="18"/>
      <c r="I28" s="88"/>
      <c r="J28" s="88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90">
        <v>2</v>
      </c>
      <c r="W28" s="90">
        <v>2</v>
      </c>
      <c r="X28" s="90">
        <v>4</v>
      </c>
      <c r="Y28" s="90">
        <v>4</v>
      </c>
      <c r="Z28" s="90">
        <v>4</v>
      </c>
      <c r="AA28" s="89"/>
      <c r="AB28" s="90">
        <v>4</v>
      </c>
      <c r="AC28" s="89"/>
      <c r="AD28" s="90">
        <v>4</v>
      </c>
      <c r="AE28" s="90">
        <v>4</v>
      </c>
      <c r="AF28" s="90">
        <v>4</v>
      </c>
      <c r="AG28" s="90">
        <v>4</v>
      </c>
      <c r="AH28" s="89"/>
      <c r="AI28" s="90">
        <v>4</v>
      </c>
      <c r="AJ28" s="90">
        <v>4</v>
      </c>
      <c r="AK28" s="124">
        <v>4</v>
      </c>
      <c r="AL28" s="122">
        <v>4</v>
      </c>
      <c r="AM28" s="116">
        <v>4</v>
      </c>
      <c r="AN28" s="123">
        <v>4</v>
      </c>
      <c r="AO28" s="85"/>
      <c r="AP28" s="86">
        <v>4</v>
      </c>
      <c r="AQ28" s="86">
        <v>4</v>
      </c>
      <c r="AR28" s="86">
        <v>4</v>
      </c>
      <c r="AS28" s="86">
        <v>4</v>
      </c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143"/>
      <c r="BR28" s="152"/>
    </row>
    <row r="29" s="1" customFormat="1" ht="18" customHeight="1" spans="1:70">
      <c r="A29" s="10">
        <v>26</v>
      </c>
      <c r="B29" s="25"/>
      <c r="C29" s="37" t="s">
        <v>36</v>
      </c>
      <c r="D29" s="38" t="s">
        <v>21</v>
      </c>
      <c r="E29" s="37">
        <v>2</v>
      </c>
      <c r="F29" s="37">
        <v>730</v>
      </c>
      <c r="G29" s="13">
        <f t="shared" si="0"/>
        <v>2</v>
      </c>
      <c r="H29" s="18"/>
      <c r="I29" s="88"/>
      <c r="J29" s="88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103"/>
      <c r="AF29" s="89"/>
      <c r="AG29" s="89"/>
      <c r="AH29" s="89"/>
      <c r="AI29" s="89"/>
      <c r="AJ29" s="90">
        <v>1</v>
      </c>
      <c r="AK29" s="124">
        <v>1</v>
      </c>
      <c r="AL29" s="78"/>
      <c r="AM29" s="16"/>
      <c r="AN29" s="119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143"/>
      <c r="BR29" s="152"/>
    </row>
    <row r="30" s="1" customFormat="1" ht="18" customHeight="1" spans="1:70">
      <c r="A30" s="10">
        <v>27</v>
      </c>
      <c r="B30" s="25"/>
      <c r="C30" s="35" t="s">
        <v>37</v>
      </c>
      <c r="D30" s="36" t="s">
        <v>21</v>
      </c>
      <c r="E30" s="35">
        <v>2</v>
      </c>
      <c r="F30" s="35">
        <v>437</v>
      </c>
      <c r="G30" s="13">
        <f t="shared" si="0"/>
        <v>2</v>
      </c>
      <c r="H30" s="18"/>
      <c r="I30" s="88"/>
      <c r="J30" s="88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90">
        <v>1</v>
      </c>
      <c r="AF30" s="90">
        <v>1</v>
      </c>
      <c r="AG30" s="89"/>
      <c r="AH30" s="89"/>
      <c r="AI30" s="89"/>
      <c r="AJ30" s="89"/>
      <c r="AK30" s="114"/>
      <c r="AL30" s="78"/>
      <c r="AM30" s="16"/>
      <c r="AN30" s="119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143"/>
      <c r="BR30" s="152"/>
    </row>
    <row r="31" s="1" customFormat="1" ht="18" customHeight="1" spans="1:70">
      <c r="A31" s="10">
        <v>28</v>
      </c>
      <c r="B31" s="25"/>
      <c r="C31" s="37" t="s">
        <v>38</v>
      </c>
      <c r="D31" s="38" t="s">
        <v>21</v>
      </c>
      <c r="E31" s="37">
        <v>4</v>
      </c>
      <c r="F31" s="37">
        <v>760</v>
      </c>
      <c r="G31" s="13">
        <f t="shared" si="0"/>
        <v>4</v>
      </c>
      <c r="H31" s="18"/>
      <c r="I31" s="88"/>
      <c r="J31" s="88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0">
        <v>1</v>
      </c>
      <c r="Z31" s="90">
        <v>1</v>
      </c>
      <c r="AA31" s="89"/>
      <c r="AB31" s="90">
        <v>1</v>
      </c>
      <c r="AC31" s="89"/>
      <c r="AD31" s="90">
        <v>1</v>
      </c>
      <c r="AE31" s="89"/>
      <c r="AF31" s="89"/>
      <c r="AG31" s="89"/>
      <c r="AH31" s="89"/>
      <c r="AI31" s="89"/>
      <c r="AJ31" s="89"/>
      <c r="AK31" s="114"/>
      <c r="AL31" s="78"/>
      <c r="AM31" s="16"/>
      <c r="AN31" s="119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143"/>
      <c r="BR31" s="152"/>
    </row>
    <row r="32" s="1" customFormat="1" ht="18" customHeight="1" spans="1:70">
      <c r="A32" s="10">
        <v>29</v>
      </c>
      <c r="B32" s="25"/>
      <c r="C32" s="41" t="s">
        <v>39</v>
      </c>
      <c r="D32" s="42" t="s">
        <v>21</v>
      </c>
      <c r="E32" s="41">
        <v>2</v>
      </c>
      <c r="F32" s="41">
        <v>604</v>
      </c>
      <c r="G32" s="13">
        <f t="shared" si="0"/>
        <v>2</v>
      </c>
      <c r="H32" s="18"/>
      <c r="I32" s="88"/>
      <c r="J32" s="88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90">
        <v>1</v>
      </c>
      <c r="AC32" s="89"/>
      <c r="AD32" s="90">
        <v>1</v>
      </c>
      <c r="AE32" s="89"/>
      <c r="AF32" s="89"/>
      <c r="AG32" s="89"/>
      <c r="AH32" s="89"/>
      <c r="AI32" s="89"/>
      <c r="AJ32" s="89"/>
      <c r="AK32" s="114"/>
      <c r="AL32" s="78"/>
      <c r="AM32" s="16"/>
      <c r="AN32" s="119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143"/>
      <c r="BR32" s="152"/>
    </row>
    <row r="33" s="1" customFormat="1" ht="18" customHeight="1" spans="1:70">
      <c r="A33" s="10">
        <v>30</v>
      </c>
      <c r="B33" s="25"/>
      <c r="C33" s="41" t="s">
        <v>40</v>
      </c>
      <c r="D33" s="42" t="s">
        <v>21</v>
      </c>
      <c r="E33" s="41">
        <v>2</v>
      </c>
      <c r="F33" s="41">
        <v>604</v>
      </c>
      <c r="G33" s="13">
        <f t="shared" si="0"/>
        <v>2</v>
      </c>
      <c r="H33" s="18"/>
      <c r="I33" s="88"/>
      <c r="J33" s="88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103"/>
      <c r="AE33" s="90">
        <v>1</v>
      </c>
      <c r="AF33" s="90">
        <v>1</v>
      </c>
      <c r="AG33" s="89"/>
      <c r="AH33" s="89"/>
      <c r="AI33" s="89"/>
      <c r="AJ33" s="89"/>
      <c r="AK33" s="114"/>
      <c r="AL33" s="78"/>
      <c r="AM33" s="16"/>
      <c r="AN33" s="119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143"/>
      <c r="BR33" s="152"/>
    </row>
    <row r="34" s="1" customFormat="1" ht="18" customHeight="1" spans="1:70">
      <c r="A34" s="10">
        <v>31</v>
      </c>
      <c r="B34" s="25"/>
      <c r="C34" s="43" t="s">
        <v>41</v>
      </c>
      <c r="D34" s="44" t="s">
        <v>21</v>
      </c>
      <c r="E34" s="43">
        <v>2</v>
      </c>
      <c r="F34" s="43">
        <v>658</v>
      </c>
      <c r="G34" s="13">
        <f t="shared" si="0"/>
        <v>2</v>
      </c>
      <c r="H34" s="18"/>
      <c r="I34" s="88"/>
      <c r="J34" s="88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90">
        <v>1</v>
      </c>
      <c r="AC34" s="89"/>
      <c r="AD34" s="90">
        <v>1</v>
      </c>
      <c r="AE34" s="89"/>
      <c r="AF34" s="89"/>
      <c r="AG34" s="89"/>
      <c r="AH34" s="89"/>
      <c r="AI34" s="89"/>
      <c r="AJ34" s="89"/>
      <c r="AK34" s="114"/>
      <c r="AL34" s="78"/>
      <c r="AM34" s="16"/>
      <c r="AN34" s="119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143"/>
      <c r="BR34" s="152"/>
    </row>
    <row r="35" s="1" customFormat="1" ht="18" customHeight="1" spans="1:70">
      <c r="A35" s="10">
        <v>32</v>
      </c>
      <c r="B35" s="25"/>
      <c r="C35" s="43" t="s">
        <v>42</v>
      </c>
      <c r="D35" s="44" t="s">
        <v>21</v>
      </c>
      <c r="E35" s="43">
        <v>2</v>
      </c>
      <c r="F35" s="43">
        <v>658</v>
      </c>
      <c r="G35" s="13">
        <f t="shared" si="0"/>
        <v>2</v>
      </c>
      <c r="H35" s="18"/>
      <c r="I35" s="88"/>
      <c r="J35" s="88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90">
        <v>1</v>
      </c>
      <c r="AF35" s="90">
        <v>1</v>
      </c>
      <c r="AG35" s="89"/>
      <c r="AH35" s="89"/>
      <c r="AI35" s="89"/>
      <c r="AJ35" s="89"/>
      <c r="AK35" s="114"/>
      <c r="AL35" s="47"/>
      <c r="AM35" s="125"/>
      <c r="AN35" s="119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143"/>
      <c r="BR35" s="152"/>
    </row>
    <row r="36" s="1" customFormat="1" ht="18" customHeight="1" spans="1:70">
      <c r="A36" s="10">
        <v>33</v>
      </c>
      <c r="B36" s="25"/>
      <c r="C36" s="33" t="s">
        <v>43</v>
      </c>
      <c r="D36" s="14" t="s">
        <v>21</v>
      </c>
      <c r="E36" s="33">
        <v>20</v>
      </c>
      <c r="F36" s="33">
        <v>488</v>
      </c>
      <c r="G36" s="13">
        <f t="shared" si="0"/>
        <v>20</v>
      </c>
      <c r="H36" s="18"/>
      <c r="I36" s="88"/>
      <c r="J36" s="88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90">
        <v>1</v>
      </c>
      <c r="Y36" s="90">
        <v>1</v>
      </c>
      <c r="Z36" s="90">
        <v>2</v>
      </c>
      <c r="AA36" s="89"/>
      <c r="AB36" s="90">
        <v>1</v>
      </c>
      <c r="AC36" s="89"/>
      <c r="AD36" s="90">
        <v>1</v>
      </c>
      <c r="AE36" s="90">
        <v>1</v>
      </c>
      <c r="AF36" s="90">
        <v>1</v>
      </c>
      <c r="AG36" s="90">
        <v>2</v>
      </c>
      <c r="AH36" s="89"/>
      <c r="AI36" s="90">
        <v>2</v>
      </c>
      <c r="AJ36" s="90">
        <v>2</v>
      </c>
      <c r="AK36" s="90">
        <v>2</v>
      </c>
      <c r="AL36" s="126">
        <v>2</v>
      </c>
      <c r="AM36" s="127">
        <v>1</v>
      </c>
      <c r="AN36" s="90">
        <v>1</v>
      </c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143"/>
      <c r="BR36" s="152"/>
    </row>
    <row r="37" s="1" customFormat="1" ht="18" customHeight="1" spans="1:70">
      <c r="A37" s="10">
        <v>34</v>
      </c>
      <c r="B37" s="25"/>
      <c r="C37" s="33" t="s">
        <v>44</v>
      </c>
      <c r="D37" s="14" t="s">
        <v>21</v>
      </c>
      <c r="E37" s="33">
        <v>18</v>
      </c>
      <c r="F37" s="33">
        <v>594</v>
      </c>
      <c r="G37" s="13">
        <f t="shared" si="0"/>
        <v>18</v>
      </c>
      <c r="H37" s="18"/>
      <c r="I37" s="88"/>
      <c r="J37" s="88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90">
        <v>2</v>
      </c>
      <c r="Z37" s="90">
        <v>2</v>
      </c>
      <c r="AA37" s="89"/>
      <c r="AB37" s="90">
        <v>2</v>
      </c>
      <c r="AC37" s="89"/>
      <c r="AD37" s="90">
        <v>1</v>
      </c>
      <c r="AE37" s="90">
        <v>2</v>
      </c>
      <c r="AF37" s="90">
        <v>2</v>
      </c>
      <c r="AG37" s="90">
        <v>2</v>
      </c>
      <c r="AH37" s="89"/>
      <c r="AI37" s="90">
        <v>2</v>
      </c>
      <c r="AJ37" s="90">
        <v>2</v>
      </c>
      <c r="AK37" s="90">
        <v>1</v>
      </c>
      <c r="AL37" s="128"/>
      <c r="AM37" s="129"/>
      <c r="AN37" s="89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143"/>
      <c r="BR37" s="152"/>
    </row>
    <row r="38" s="1" customFormat="1" ht="18" customHeight="1" spans="1:70">
      <c r="A38" s="10">
        <v>35</v>
      </c>
      <c r="B38" s="25"/>
      <c r="C38" s="33" t="s">
        <v>45</v>
      </c>
      <c r="D38" s="14" t="s">
        <v>21</v>
      </c>
      <c r="E38" s="33">
        <v>26</v>
      </c>
      <c r="F38" s="33">
        <v>584</v>
      </c>
      <c r="G38" s="13">
        <f t="shared" si="0"/>
        <v>26</v>
      </c>
      <c r="H38" s="18"/>
      <c r="I38" s="88"/>
      <c r="J38" s="88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90">
        <v>2</v>
      </c>
      <c r="Z38" s="90">
        <v>2</v>
      </c>
      <c r="AA38" s="89"/>
      <c r="AB38" s="90">
        <v>2</v>
      </c>
      <c r="AC38" s="89"/>
      <c r="AD38" s="90">
        <v>2</v>
      </c>
      <c r="AE38" s="90">
        <v>2</v>
      </c>
      <c r="AF38" s="90">
        <v>2</v>
      </c>
      <c r="AG38" s="90">
        <v>2</v>
      </c>
      <c r="AH38" s="89"/>
      <c r="AI38" s="90">
        <v>2</v>
      </c>
      <c r="AJ38" s="90">
        <v>2</v>
      </c>
      <c r="AK38" s="90">
        <v>2</v>
      </c>
      <c r="AL38" s="126">
        <v>1</v>
      </c>
      <c r="AM38" s="127">
        <v>1</v>
      </c>
      <c r="AN38" s="90">
        <v>1</v>
      </c>
      <c r="AO38" s="85"/>
      <c r="AP38" s="86">
        <v>1</v>
      </c>
      <c r="AQ38" s="86">
        <v>1</v>
      </c>
      <c r="AR38" s="86">
        <v>1</v>
      </c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143"/>
      <c r="BR38" s="152"/>
    </row>
    <row r="39" s="1" customFormat="1" ht="18" customHeight="1" spans="1:70">
      <c r="A39" s="10">
        <v>36</v>
      </c>
      <c r="B39" s="25"/>
      <c r="C39" s="33" t="s">
        <v>46</v>
      </c>
      <c r="D39" s="14" t="s">
        <v>21</v>
      </c>
      <c r="E39" s="33">
        <v>26</v>
      </c>
      <c r="F39" s="33">
        <v>533</v>
      </c>
      <c r="G39" s="13">
        <f t="shared" si="0"/>
        <v>26</v>
      </c>
      <c r="H39" s="18"/>
      <c r="I39" s="88"/>
      <c r="J39" s="88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90">
        <v>1</v>
      </c>
      <c r="Y39" s="90">
        <v>1</v>
      </c>
      <c r="Z39" s="90">
        <v>1</v>
      </c>
      <c r="AA39" s="89"/>
      <c r="AB39" s="90">
        <v>2</v>
      </c>
      <c r="AC39" s="89"/>
      <c r="AD39" s="90">
        <v>2</v>
      </c>
      <c r="AE39" s="90">
        <v>2</v>
      </c>
      <c r="AF39" s="90">
        <v>2</v>
      </c>
      <c r="AG39" s="90">
        <v>2</v>
      </c>
      <c r="AH39" s="89"/>
      <c r="AI39" s="90">
        <v>2</v>
      </c>
      <c r="AJ39" s="90">
        <v>2</v>
      </c>
      <c r="AK39" s="90">
        <v>2</v>
      </c>
      <c r="AL39" s="126">
        <v>2</v>
      </c>
      <c r="AM39" s="127">
        <v>1</v>
      </c>
      <c r="AN39" s="90">
        <v>1</v>
      </c>
      <c r="AO39" s="85"/>
      <c r="AP39" s="86">
        <v>1</v>
      </c>
      <c r="AQ39" s="86">
        <v>2</v>
      </c>
      <c r="AR39" s="85"/>
      <c r="AS39" s="85"/>
      <c r="AT39" s="85"/>
      <c r="AU39" s="85"/>
      <c r="AV39" s="137"/>
      <c r="AW39" s="137"/>
      <c r="AX39" s="144"/>
      <c r="AY39" s="144"/>
      <c r="AZ39" s="144"/>
      <c r="BA39" s="144"/>
      <c r="BB39" s="144"/>
      <c r="BC39" s="144"/>
      <c r="BD39" s="144" t="s">
        <v>47</v>
      </c>
      <c r="BE39" s="144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143"/>
      <c r="BR39" s="152"/>
    </row>
    <row r="40" s="1" customFormat="1" ht="18" customHeight="1" spans="1:70">
      <c r="A40" s="10">
        <v>37</v>
      </c>
      <c r="B40" s="25"/>
      <c r="C40" s="33" t="s">
        <v>48</v>
      </c>
      <c r="D40" s="14" t="s">
        <v>21</v>
      </c>
      <c r="E40" s="33">
        <v>26</v>
      </c>
      <c r="F40" s="33">
        <v>386</v>
      </c>
      <c r="G40" s="13">
        <f t="shared" si="0"/>
        <v>26</v>
      </c>
      <c r="H40" s="18"/>
      <c r="I40" s="88"/>
      <c r="J40" s="88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90">
        <v>2</v>
      </c>
      <c r="Z40" s="90">
        <v>2</v>
      </c>
      <c r="AA40" s="89"/>
      <c r="AB40" s="90">
        <v>2</v>
      </c>
      <c r="AC40" s="89"/>
      <c r="AD40" s="90">
        <v>2</v>
      </c>
      <c r="AE40" s="90">
        <v>2</v>
      </c>
      <c r="AF40" s="90">
        <v>2</v>
      </c>
      <c r="AG40" s="90">
        <v>2</v>
      </c>
      <c r="AH40" s="89"/>
      <c r="AI40" s="90">
        <v>2</v>
      </c>
      <c r="AJ40" s="90">
        <v>2</v>
      </c>
      <c r="AK40" s="90">
        <v>2</v>
      </c>
      <c r="AL40" s="126">
        <v>1</v>
      </c>
      <c r="AM40" s="127">
        <v>1</v>
      </c>
      <c r="AN40" s="90">
        <v>1</v>
      </c>
      <c r="AO40" s="85"/>
      <c r="AP40" s="86">
        <v>1</v>
      </c>
      <c r="AQ40" s="86">
        <v>2</v>
      </c>
      <c r="AR40" s="85"/>
      <c r="AS40" s="85"/>
      <c r="AT40" s="85"/>
      <c r="AU40" s="85"/>
      <c r="AV40" s="137"/>
      <c r="AW40" s="137"/>
      <c r="AX40" s="144"/>
      <c r="AY40" s="144"/>
      <c r="AZ40" s="144"/>
      <c r="BA40" s="144"/>
      <c r="BB40" s="144"/>
      <c r="BC40" s="144"/>
      <c r="BD40" s="144"/>
      <c r="BE40" s="144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143"/>
      <c r="BR40" s="152"/>
    </row>
    <row r="41" s="1" customFormat="1" ht="18" hidden="1" customHeight="1" spans="1:70">
      <c r="A41" s="10">
        <v>38</v>
      </c>
      <c r="B41" s="25"/>
      <c r="C41" s="33" t="s">
        <v>49</v>
      </c>
      <c r="D41" s="14" t="s">
        <v>21</v>
      </c>
      <c r="E41" s="33"/>
      <c r="F41" s="33"/>
      <c r="G41" s="13">
        <f t="shared" si="0"/>
        <v>0</v>
      </c>
      <c r="H41" s="18"/>
      <c r="I41" s="88"/>
      <c r="J41" s="88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90"/>
      <c r="AA41" s="89"/>
      <c r="AB41" s="90"/>
      <c r="AC41" s="89"/>
      <c r="AD41" s="90"/>
      <c r="AE41" s="90"/>
      <c r="AF41" s="90"/>
      <c r="AG41" s="90"/>
      <c r="AH41" s="89"/>
      <c r="AI41" s="90"/>
      <c r="AJ41" s="90"/>
      <c r="AK41" s="90"/>
      <c r="AL41" s="126"/>
      <c r="AM41" s="127"/>
      <c r="AN41" s="90"/>
      <c r="AO41" s="85"/>
      <c r="AP41" s="86"/>
      <c r="AQ41" s="86"/>
      <c r="AR41" s="85"/>
      <c r="AS41" s="85"/>
      <c r="AT41" s="85"/>
      <c r="AU41" s="85"/>
      <c r="AV41" s="137"/>
      <c r="AW41" s="137"/>
      <c r="AX41" s="144"/>
      <c r="AY41" s="144"/>
      <c r="AZ41" s="144"/>
      <c r="BA41" s="144"/>
      <c r="BB41" s="144"/>
      <c r="BC41" s="144"/>
      <c r="BD41" s="144"/>
      <c r="BE41" s="144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143"/>
      <c r="BR41" s="152"/>
    </row>
    <row r="42" s="1" customFormat="1" ht="18" customHeight="1" spans="1:70">
      <c r="A42" s="19">
        <v>39</v>
      </c>
      <c r="B42" s="45"/>
      <c r="C42" s="46" t="s">
        <v>49</v>
      </c>
      <c r="D42" s="47" t="s">
        <v>21</v>
      </c>
      <c r="E42" s="46">
        <v>26</v>
      </c>
      <c r="F42" s="46">
        <v>430</v>
      </c>
      <c r="G42" s="48">
        <f t="shared" si="0"/>
        <v>26</v>
      </c>
      <c r="H42" s="18"/>
      <c r="I42" s="88"/>
      <c r="J42" s="88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90">
        <v>1</v>
      </c>
      <c r="Y42" s="90">
        <v>1</v>
      </c>
      <c r="Z42" s="90">
        <v>2</v>
      </c>
      <c r="AA42" s="89"/>
      <c r="AB42" s="90">
        <v>1</v>
      </c>
      <c r="AC42" s="89"/>
      <c r="AD42" s="90">
        <v>2</v>
      </c>
      <c r="AE42" s="90">
        <v>2</v>
      </c>
      <c r="AF42" s="90">
        <v>2</v>
      </c>
      <c r="AG42" s="90">
        <v>2</v>
      </c>
      <c r="AH42" s="89"/>
      <c r="AI42" s="90">
        <v>2</v>
      </c>
      <c r="AJ42" s="90">
        <v>2</v>
      </c>
      <c r="AK42" s="90">
        <v>2</v>
      </c>
      <c r="AL42" s="126">
        <v>2</v>
      </c>
      <c r="AM42" s="127">
        <v>1</v>
      </c>
      <c r="AN42" s="90">
        <v>1</v>
      </c>
      <c r="AO42" s="85"/>
      <c r="AP42" s="86">
        <v>1</v>
      </c>
      <c r="AQ42" s="86">
        <v>1</v>
      </c>
      <c r="AR42" s="86">
        <v>1</v>
      </c>
      <c r="AS42" s="85"/>
      <c r="AT42" s="85"/>
      <c r="AU42" s="85"/>
      <c r="AV42" s="137"/>
      <c r="AW42" s="137"/>
      <c r="AX42" s="144"/>
      <c r="AY42" s="144"/>
      <c r="AZ42" s="144"/>
      <c r="BA42" s="144"/>
      <c r="BB42" s="144"/>
      <c r="BC42" s="144"/>
      <c r="BD42" s="144"/>
      <c r="BE42" s="144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143"/>
      <c r="BR42" s="152"/>
    </row>
    <row r="43" s="1" customFormat="1" ht="18" customHeight="1" spans="1:70">
      <c r="A43" s="10">
        <v>40</v>
      </c>
      <c r="B43" s="49" t="s">
        <v>50</v>
      </c>
      <c r="C43" s="50" t="s">
        <v>51</v>
      </c>
      <c r="D43" s="51" t="s">
        <v>21</v>
      </c>
      <c r="E43" s="52">
        <v>72</v>
      </c>
      <c r="F43" s="52">
        <v>501</v>
      </c>
      <c r="G43" s="53">
        <f t="shared" ref="G43:G51" si="1">SUM(H43:BQ43)</f>
        <v>72</v>
      </c>
      <c r="H43" s="54"/>
      <c r="I43" s="94"/>
      <c r="J43" s="94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104">
        <v>4</v>
      </c>
      <c r="AC43" s="95"/>
      <c r="AD43" s="104">
        <v>4</v>
      </c>
      <c r="AE43" s="104">
        <v>4</v>
      </c>
      <c r="AF43" s="104">
        <v>4</v>
      </c>
      <c r="AG43" s="104">
        <v>4</v>
      </c>
      <c r="AH43" s="95"/>
      <c r="AI43" s="104">
        <v>4</v>
      </c>
      <c r="AJ43" s="104">
        <v>4</v>
      </c>
      <c r="AK43" s="104">
        <v>4</v>
      </c>
      <c r="AL43" s="130">
        <v>4</v>
      </c>
      <c r="AM43" s="131">
        <v>4</v>
      </c>
      <c r="AN43" s="132">
        <v>4</v>
      </c>
      <c r="AO43" s="118"/>
      <c r="AP43" s="132">
        <v>4</v>
      </c>
      <c r="AQ43" s="132">
        <v>4</v>
      </c>
      <c r="AR43" s="132">
        <v>4</v>
      </c>
      <c r="AS43" s="132">
        <v>4</v>
      </c>
      <c r="AT43" s="132">
        <v>4</v>
      </c>
      <c r="AU43" s="132">
        <v>4</v>
      </c>
      <c r="AV43" s="138"/>
      <c r="AW43" s="102">
        <v>4</v>
      </c>
      <c r="AX43" s="145"/>
      <c r="AY43" s="145"/>
      <c r="AZ43" s="145"/>
      <c r="BA43" s="145"/>
      <c r="BB43" s="145"/>
      <c r="BC43" s="145"/>
      <c r="BD43" s="145"/>
      <c r="BE43" s="145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143"/>
      <c r="BR43" s="152"/>
    </row>
    <row r="44" s="1" customFormat="1" ht="18" customHeight="1" spans="1:70">
      <c r="A44" s="10">
        <v>41</v>
      </c>
      <c r="B44" s="55"/>
      <c r="C44" s="56" t="s">
        <v>52</v>
      </c>
      <c r="D44" s="47" t="s">
        <v>21</v>
      </c>
      <c r="E44" s="46">
        <v>72</v>
      </c>
      <c r="F44" s="46">
        <v>521</v>
      </c>
      <c r="G44" s="13">
        <f t="shared" si="1"/>
        <v>72</v>
      </c>
      <c r="H44" s="18"/>
      <c r="I44" s="88"/>
      <c r="J44" s="88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90">
        <v>4</v>
      </c>
      <c r="AC44" s="89"/>
      <c r="AD44" s="90">
        <v>4</v>
      </c>
      <c r="AE44" s="90">
        <v>4</v>
      </c>
      <c r="AF44" s="90">
        <v>4</v>
      </c>
      <c r="AG44" s="90">
        <v>4</v>
      </c>
      <c r="AH44" s="89"/>
      <c r="AI44" s="90">
        <v>4</v>
      </c>
      <c r="AJ44" s="90">
        <v>4</v>
      </c>
      <c r="AK44" s="90">
        <v>4</v>
      </c>
      <c r="AL44" s="126">
        <v>4</v>
      </c>
      <c r="AM44" s="133">
        <v>4</v>
      </c>
      <c r="AN44" s="123">
        <v>4</v>
      </c>
      <c r="AO44" s="119"/>
      <c r="AP44" s="123">
        <v>4</v>
      </c>
      <c r="AQ44" s="123">
        <v>4</v>
      </c>
      <c r="AR44" s="123">
        <v>4</v>
      </c>
      <c r="AS44" s="123">
        <v>4</v>
      </c>
      <c r="AT44" s="123">
        <v>4</v>
      </c>
      <c r="AU44" s="123">
        <v>4</v>
      </c>
      <c r="AV44" s="137"/>
      <c r="AW44" s="86">
        <v>4</v>
      </c>
      <c r="AX44" s="144"/>
      <c r="AY44" s="144"/>
      <c r="AZ44" s="144"/>
      <c r="BA44" s="144"/>
      <c r="BB44" s="144"/>
      <c r="BC44" s="144"/>
      <c r="BD44" s="144"/>
      <c r="BE44" s="144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143"/>
      <c r="BR44" s="152"/>
    </row>
    <row r="45" s="1" customFormat="1" ht="18" customHeight="1" spans="1:70">
      <c r="A45" s="10">
        <v>42</v>
      </c>
      <c r="B45" s="55"/>
      <c r="C45" s="56" t="s">
        <v>53</v>
      </c>
      <c r="D45" s="47" t="s">
        <v>21</v>
      </c>
      <c r="E45" s="46">
        <v>24</v>
      </c>
      <c r="F45" s="46">
        <v>1077</v>
      </c>
      <c r="G45" s="13">
        <f t="shared" si="1"/>
        <v>24</v>
      </c>
      <c r="H45" s="18"/>
      <c r="I45" s="88"/>
      <c r="J45" s="88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90">
        <v>1</v>
      </c>
      <c r="AC45" s="89"/>
      <c r="AD45" s="90">
        <v>1</v>
      </c>
      <c r="AE45" s="90">
        <v>1</v>
      </c>
      <c r="AF45" s="90">
        <v>1</v>
      </c>
      <c r="AG45" s="90">
        <v>1</v>
      </c>
      <c r="AH45" s="89"/>
      <c r="AI45" s="90">
        <v>1</v>
      </c>
      <c r="AJ45" s="90">
        <v>1</v>
      </c>
      <c r="AK45" s="90">
        <v>1</v>
      </c>
      <c r="AL45" s="126">
        <v>2</v>
      </c>
      <c r="AM45" s="133">
        <v>2</v>
      </c>
      <c r="AN45" s="123">
        <v>2</v>
      </c>
      <c r="AO45" s="119"/>
      <c r="AP45" s="123">
        <v>2</v>
      </c>
      <c r="AQ45" s="123">
        <v>2</v>
      </c>
      <c r="AR45" s="123">
        <v>2</v>
      </c>
      <c r="AS45" s="123">
        <v>2</v>
      </c>
      <c r="AT45" s="123">
        <v>2</v>
      </c>
      <c r="AU45" s="119"/>
      <c r="AV45" s="137"/>
      <c r="AW45" s="137"/>
      <c r="AX45" s="144"/>
      <c r="AY45" s="144"/>
      <c r="AZ45" s="144"/>
      <c r="BA45" s="144"/>
      <c r="BB45" s="144"/>
      <c r="BC45" s="144"/>
      <c r="BD45" s="144"/>
      <c r="BE45" s="144"/>
      <c r="BF45" s="85"/>
      <c r="BG45" s="85"/>
      <c r="BH45" s="85"/>
      <c r="BI45" s="85"/>
      <c r="BJ45" s="85"/>
      <c r="BK45" s="85"/>
      <c r="BL45" s="85"/>
      <c r="BM45" s="89"/>
      <c r="BN45" s="85"/>
      <c r="BO45" s="85"/>
      <c r="BP45" s="85"/>
      <c r="BQ45" s="143"/>
      <c r="BR45" s="152"/>
    </row>
    <row r="46" s="1" customFormat="1" ht="18" customHeight="1" spans="1:70">
      <c r="A46" s="10">
        <v>43</v>
      </c>
      <c r="B46" s="55"/>
      <c r="C46" s="56" t="s">
        <v>54</v>
      </c>
      <c r="D46" s="47" t="s">
        <v>21</v>
      </c>
      <c r="E46" s="46">
        <v>24</v>
      </c>
      <c r="F46" s="46">
        <v>572</v>
      </c>
      <c r="G46" s="13">
        <f t="shared" si="1"/>
        <v>24</v>
      </c>
      <c r="H46" s="18"/>
      <c r="I46" s="88"/>
      <c r="J46" s="88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90">
        <v>1</v>
      </c>
      <c r="AC46" s="89"/>
      <c r="AD46" s="90">
        <v>1</v>
      </c>
      <c r="AE46" s="90">
        <v>1</v>
      </c>
      <c r="AF46" s="90">
        <v>1</v>
      </c>
      <c r="AG46" s="90">
        <v>1</v>
      </c>
      <c r="AH46" s="89"/>
      <c r="AI46" s="90">
        <v>1</v>
      </c>
      <c r="AJ46" s="90">
        <v>1</v>
      </c>
      <c r="AK46" s="90">
        <v>1</v>
      </c>
      <c r="AL46" s="126">
        <v>2</v>
      </c>
      <c r="AM46" s="133">
        <v>2</v>
      </c>
      <c r="AN46" s="123">
        <v>2</v>
      </c>
      <c r="AO46" s="119"/>
      <c r="AP46" s="123">
        <v>2</v>
      </c>
      <c r="AQ46" s="123">
        <v>2</v>
      </c>
      <c r="AR46" s="123">
        <v>2</v>
      </c>
      <c r="AS46" s="123">
        <v>2</v>
      </c>
      <c r="AT46" s="123">
        <v>2</v>
      </c>
      <c r="AU46" s="119"/>
      <c r="AV46" s="137"/>
      <c r="AW46" s="137"/>
      <c r="AX46" s="144"/>
      <c r="AY46" s="144"/>
      <c r="AZ46" s="144"/>
      <c r="BA46" s="144"/>
      <c r="BB46" s="144"/>
      <c r="BC46" s="144"/>
      <c r="BD46" s="144"/>
      <c r="BE46" s="144"/>
      <c r="BF46" s="85"/>
      <c r="BG46" s="85"/>
      <c r="BH46" s="85"/>
      <c r="BI46" s="85"/>
      <c r="BJ46" s="85"/>
      <c r="BK46" s="85"/>
      <c r="BL46" s="143"/>
      <c r="BM46" s="148"/>
      <c r="BN46" s="16"/>
      <c r="BO46" s="85"/>
      <c r="BP46" s="85"/>
      <c r="BQ46" s="143"/>
      <c r="BR46" s="152"/>
    </row>
    <row r="47" s="1" customFormat="1" ht="18" customHeight="1" spans="1:70">
      <c r="A47" s="10">
        <v>44</v>
      </c>
      <c r="B47" s="55"/>
      <c r="C47" s="56" t="s">
        <v>55</v>
      </c>
      <c r="D47" s="47" t="s">
        <v>21</v>
      </c>
      <c r="E47" s="46">
        <v>24</v>
      </c>
      <c r="F47" s="46">
        <v>712</v>
      </c>
      <c r="G47" s="13">
        <f t="shared" si="1"/>
        <v>24</v>
      </c>
      <c r="H47" s="18"/>
      <c r="I47" s="88"/>
      <c r="J47" s="88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90">
        <v>1</v>
      </c>
      <c r="AC47" s="89"/>
      <c r="AD47" s="90">
        <v>1</v>
      </c>
      <c r="AE47" s="90">
        <v>1</v>
      </c>
      <c r="AF47" s="90">
        <v>1</v>
      </c>
      <c r="AG47" s="90">
        <v>1</v>
      </c>
      <c r="AH47" s="89"/>
      <c r="AI47" s="90">
        <v>1</v>
      </c>
      <c r="AJ47" s="90">
        <v>1</v>
      </c>
      <c r="AK47" s="90">
        <v>1</v>
      </c>
      <c r="AL47" s="126">
        <v>2</v>
      </c>
      <c r="AM47" s="133">
        <v>2</v>
      </c>
      <c r="AN47" s="123">
        <v>2</v>
      </c>
      <c r="AO47" s="119"/>
      <c r="AP47" s="123">
        <v>2</v>
      </c>
      <c r="AQ47" s="123">
        <v>2</v>
      </c>
      <c r="AR47" s="123">
        <v>2</v>
      </c>
      <c r="AS47" s="123">
        <v>2</v>
      </c>
      <c r="AT47" s="123">
        <v>2</v>
      </c>
      <c r="AU47" s="119"/>
      <c r="AV47" s="137"/>
      <c r="AW47" s="137"/>
      <c r="AX47" s="144"/>
      <c r="AY47" s="144"/>
      <c r="AZ47" s="144"/>
      <c r="BA47" s="144"/>
      <c r="BB47" s="144"/>
      <c r="BC47" s="144"/>
      <c r="BD47" s="144"/>
      <c r="BE47" s="144"/>
      <c r="BF47" s="85"/>
      <c r="BG47" s="85"/>
      <c r="BH47" s="85"/>
      <c r="BI47" s="85"/>
      <c r="BJ47" s="85"/>
      <c r="BK47" s="85"/>
      <c r="BL47" s="85"/>
      <c r="BM47" s="82"/>
      <c r="BN47" s="85"/>
      <c r="BO47" s="85"/>
      <c r="BP47" s="85"/>
      <c r="BQ47" s="143"/>
      <c r="BR47" s="152"/>
    </row>
    <row r="48" s="1" customFormat="1" ht="18" customHeight="1" spans="1:70">
      <c r="A48" s="10">
        <v>45</v>
      </c>
      <c r="B48" s="55"/>
      <c r="C48" s="56" t="s">
        <v>56</v>
      </c>
      <c r="D48" s="47" t="s">
        <v>21</v>
      </c>
      <c r="E48" s="46">
        <v>48</v>
      </c>
      <c r="F48" s="46">
        <v>310</v>
      </c>
      <c r="G48" s="13">
        <f t="shared" si="1"/>
        <v>48</v>
      </c>
      <c r="H48" s="18"/>
      <c r="I48" s="88"/>
      <c r="J48" s="88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90">
        <v>4</v>
      </c>
      <c r="AC48" s="89"/>
      <c r="AD48" s="90">
        <v>4</v>
      </c>
      <c r="AE48" s="90">
        <v>4</v>
      </c>
      <c r="AF48" s="90">
        <v>4</v>
      </c>
      <c r="AG48" s="90">
        <v>4</v>
      </c>
      <c r="AH48" s="89"/>
      <c r="AI48" s="90">
        <v>4</v>
      </c>
      <c r="AJ48" s="90">
        <v>4</v>
      </c>
      <c r="AK48" s="90">
        <v>4</v>
      </c>
      <c r="AL48" s="126">
        <v>4</v>
      </c>
      <c r="AM48" s="127">
        <v>4</v>
      </c>
      <c r="AN48" s="90">
        <v>4</v>
      </c>
      <c r="AO48" s="119"/>
      <c r="AP48" s="123">
        <v>4</v>
      </c>
      <c r="AQ48" s="119"/>
      <c r="AR48" s="119"/>
      <c r="AS48" s="119"/>
      <c r="AT48" s="119"/>
      <c r="AU48" s="119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143"/>
      <c r="BR48" s="152"/>
    </row>
    <row r="49" s="1" customFormat="1" ht="18" customHeight="1" spans="1:70">
      <c r="A49" s="10">
        <v>46</v>
      </c>
      <c r="B49" s="55"/>
      <c r="C49" s="56" t="s">
        <v>57</v>
      </c>
      <c r="D49" s="47" t="s">
        <v>21</v>
      </c>
      <c r="E49" s="46">
        <v>48</v>
      </c>
      <c r="F49" s="46">
        <v>233</v>
      </c>
      <c r="G49" s="13">
        <f t="shared" si="1"/>
        <v>48</v>
      </c>
      <c r="H49" s="18"/>
      <c r="I49" s="88"/>
      <c r="J49" s="88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>
        <v>4</v>
      </c>
      <c r="AC49" s="89"/>
      <c r="AD49" s="90">
        <v>4</v>
      </c>
      <c r="AE49" s="90">
        <v>4</v>
      </c>
      <c r="AF49" s="90">
        <v>4</v>
      </c>
      <c r="AG49" s="90">
        <v>4</v>
      </c>
      <c r="AH49" s="89"/>
      <c r="AI49" s="90">
        <v>4</v>
      </c>
      <c r="AJ49" s="90">
        <v>4</v>
      </c>
      <c r="AK49" s="90">
        <v>4</v>
      </c>
      <c r="AL49" s="126">
        <v>4</v>
      </c>
      <c r="AM49" s="127">
        <v>4</v>
      </c>
      <c r="AN49" s="90">
        <v>4</v>
      </c>
      <c r="AO49" s="119"/>
      <c r="AP49" s="123">
        <v>4</v>
      </c>
      <c r="AQ49" s="119"/>
      <c r="AR49" s="119"/>
      <c r="AS49" s="119"/>
      <c r="AT49" s="119"/>
      <c r="AU49" s="119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143"/>
      <c r="BR49" s="152"/>
    </row>
    <row r="50" s="1" customFormat="1" ht="18" customHeight="1" spans="1:70">
      <c r="A50" s="10">
        <v>47</v>
      </c>
      <c r="B50" s="57" t="s">
        <v>58</v>
      </c>
      <c r="C50" s="58" t="s">
        <v>59</v>
      </c>
      <c r="D50" s="59">
        <v>75000</v>
      </c>
      <c r="E50" s="60"/>
      <c r="F50" s="61"/>
      <c r="G50" s="62"/>
      <c r="H50" s="62"/>
      <c r="I50" s="60"/>
      <c r="J50" s="60"/>
      <c r="K50" s="60"/>
      <c r="L50" s="96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134"/>
      <c r="AL50" s="75"/>
      <c r="AM50" s="53"/>
      <c r="AN50" s="92"/>
      <c r="AO50" s="92"/>
      <c r="AP50" s="92"/>
      <c r="AQ50" s="92"/>
      <c r="AR50" s="139"/>
      <c r="AS50" s="139"/>
      <c r="AT50" s="139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154"/>
      <c r="BR50" s="152"/>
    </row>
    <row r="51" s="1" customFormat="1" ht="18" customHeight="1" spans="1:70">
      <c r="A51" s="10">
        <v>48</v>
      </c>
      <c r="B51" s="63"/>
      <c r="C51" s="15" t="s">
        <v>60</v>
      </c>
      <c r="D51" s="64">
        <v>25500</v>
      </c>
      <c r="E51" s="65"/>
      <c r="F51" s="66"/>
      <c r="G51" s="67"/>
      <c r="H51" s="67"/>
      <c r="I51" s="65"/>
      <c r="J51" s="65"/>
      <c r="K51" s="65"/>
      <c r="L51" s="97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14"/>
      <c r="AL51" s="76"/>
      <c r="AM51" s="16"/>
      <c r="AN51" s="85"/>
      <c r="AO51" s="85"/>
      <c r="AP51" s="85"/>
      <c r="AQ51" s="140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143"/>
      <c r="BR51" s="152"/>
    </row>
    <row r="52" s="1" customFormat="1" ht="18" customHeight="1" spans="1:70">
      <c r="A52" s="68">
        <v>49</v>
      </c>
      <c r="B52" s="69"/>
      <c r="C52" s="70" t="s">
        <v>61</v>
      </c>
      <c r="D52" s="71">
        <v>7500</v>
      </c>
      <c r="E52" s="72"/>
      <c r="F52" s="73"/>
      <c r="G52" s="74"/>
      <c r="H52" s="74"/>
      <c r="I52" s="98"/>
      <c r="J52" s="98"/>
      <c r="K52" s="98"/>
      <c r="L52" s="99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47"/>
      <c r="AL52" s="78"/>
      <c r="AM52" s="135"/>
      <c r="AN52" s="89"/>
      <c r="AO52" s="89"/>
      <c r="AP52" s="141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128"/>
      <c r="BR52" s="152"/>
    </row>
    <row r="53" s="1" customFormat="1" ht="18" customHeight="1" spans="1:70">
      <c r="A53" s="58">
        <v>50</v>
      </c>
      <c r="B53" s="12" t="s">
        <v>62</v>
      </c>
      <c r="C53" s="12"/>
      <c r="D53" s="12"/>
      <c r="E53" s="12"/>
      <c r="F53" s="75"/>
      <c r="G53" s="62"/>
      <c r="H53" s="62"/>
      <c r="I53" s="60"/>
      <c r="J53" s="96"/>
      <c r="K53" s="60"/>
      <c r="L53" s="60"/>
      <c r="M53" s="10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134"/>
      <c r="AL53" s="75"/>
      <c r="AM53" s="53"/>
      <c r="AN53" s="92"/>
      <c r="AO53" s="92"/>
      <c r="AP53" s="9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154"/>
      <c r="BR53" s="152"/>
    </row>
    <row r="54" s="1" customFormat="1" ht="18" customHeight="1" spans="1:70">
      <c r="A54" s="10">
        <v>51</v>
      </c>
      <c r="B54" s="14" t="s">
        <v>63</v>
      </c>
      <c r="C54" s="14"/>
      <c r="D54" s="14"/>
      <c r="E54" s="14"/>
      <c r="F54" s="76"/>
      <c r="G54" s="67"/>
      <c r="H54" s="67"/>
      <c r="I54" s="65"/>
      <c r="J54" s="97"/>
      <c r="K54" s="65"/>
      <c r="L54" s="65"/>
      <c r="M54" s="65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12"/>
      <c r="AL54" s="111"/>
      <c r="AM54" s="16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146"/>
      <c r="BC54" s="146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143"/>
      <c r="BR54" s="152"/>
    </row>
    <row r="55" s="1" customFormat="1" ht="18" customHeight="1" spans="1:70">
      <c r="A55" s="10">
        <v>52</v>
      </c>
      <c r="B55" s="14" t="s">
        <v>64</v>
      </c>
      <c r="C55" s="14"/>
      <c r="D55" s="14"/>
      <c r="E55" s="14"/>
      <c r="F55" s="76"/>
      <c r="G55" s="67"/>
      <c r="H55" s="67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14"/>
      <c r="AL55" s="76"/>
      <c r="AM55" s="16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147"/>
      <c r="BE55" s="147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143"/>
      <c r="BR55" s="152"/>
    </row>
    <row r="56" s="1" customFormat="1" ht="18" customHeight="1" spans="1:70">
      <c r="A56" s="68">
        <v>53</v>
      </c>
      <c r="B56" s="47" t="s">
        <v>65</v>
      </c>
      <c r="C56" s="77"/>
      <c r="D56" s="77"/>
      <c r="E56" s="77"/>
      <c r="F56" s="78"/>
      <c r="G56" s="74"/>
      <c r="H56" s="7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47"/>
      <c r="AL56" s="78"/>
      <c r="AM56" s="135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149"/>
      <c r="BG56" s="149"/>
      <c r="BH56" s="150"/>
      <c r="BI56" s="150"/>
      <c r="BJ56" s="150"/>
      <c r="BK56" s="150"/>
      <c r="BL56" s="150"/>
      <c r="BM56" s="89"/>
      <c r="BN56" s="89"/>
      <c r="BO56" s="89"/>
      <c r="BP56" s="89"/>
      <c r="BQ56" s="128"/>
      <c r="BR56" s="152"/>
    </row>
    <row r="57" s="1" customFormat="1" ht="27" customHeight="1" spans="1:69">
      <c r="A57" s="79"/>
      <c r="B57" s="79"/>
      <c r="C57" s="1"/>
      <c r="D57" s="51" t="s">
        <v>66</v>
      </c>
      <c r="E57" s="80" t="s">
        <v>67</v>
      </c>
      <c r="F57" s="81"/>
      <c r="G57" s="79"/>
      <c r="H57" s="79"/>
      <c r="I57" s="79"/>
      <c r="J57" s="101" t="s">
        <v>68</v>
      </c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36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</row>
    <row r="58" ht="32" customHeight="1" spans="4:7">
      <c r="D58" s="2" t="s">
        <v>69</v>
      </c>
      <c r="E58" s="2" t="s">
        <v>70</v>
      </c>
      <c r="F58" s="2" t="s">
        <v>71</v>
      </c>
      <c r="G58" s="2" t="s">
        <v>72</v>
      </c>
    </row>
    <row r="59" spans="4:5">
      <c r="D59" s="2" t="s">
        <v>73</v>
      </c>
      <c r="E59" s="2" t="s">
        <v>74</v>
      </c>
    </row>
  </sheetData>
  <mergeCells count="20">
    <mergeCell ref="A1:BQ1"/>
    <mergeCell ref="H2:AL2"/>
    <mergeCell ref="AM2:BQ2"/>
    <mergeCell ref="D50:F50"/>
    <mergeCell ref="D51:F51"/>
    <mergeCell ref="D52:F52"/>
    <mergeCell ref="B53:F53"/>
    <mergeCell ref="B54:F54"/>
    <mergeCell ref="B55:F55"/>
    <mergeCell ref="B56:F56"/>
    <mergeCell ref="J57:AK57"/>
    <mergeCell ref="A2:A3"/>
    <mergeCell ref="B4:B13"/>
    <mergeCell ref="B14:B42"/>
    <mergeCell ref="B43:B49"/>
    <mergeCell ref="B50:B52"/>
    <mergeCell ref="D2:D3"/>
    <mergeCell ref="E2:E3"/>
    <mergeCell ref="F2:F3"/>
    <mergeCell ref="B2:C3"/>
  </mergeCells>
  <printOptions horizontalCentered="1"/>
  <pageMargins left="0.16875" right="0.208333333333333" top="0.393055555555556" bottom="0.259722222222222" header="0.188888888888889" footer="0.161111111111111"/>
  <pageSetup paperSize="8" scale="97" orientation="landscape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李东</dc:creator>
  <cp:lastModifiedBy> 松</cp:lastModifiedBy>
  <dcterms:created xsi:type="dcterms:W3CDTF">2018-03-05T03:50:00Z</dcterms:created>
  <cp:lastPrinted>2020-01-06T06:21:00Z</cp:lastPrinted>
  <dcterms:modified xsi:type="dcterms:W3CDTF">2025-10-24T01:34:23Z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095FE0F83BEE4220BA2EB7619C15C201_13</vt:lpwstr>
  </property>
</Properties>
</file>